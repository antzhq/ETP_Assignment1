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June hourly" sheetId="2" state="visible" r:id="rId4"/>
    <sheet name="December hourly" sheetId="3" state="visible" r:id="rId5"/>
    <sheet name="Cost swee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<sst xmlns="http://schemas.openxmlformats.org/spreadsheetml/2006/main" count="741" uniqueCount="117">
  <si>
    <t xml:space="preserve">Inputs: given values and chosen design</t>
  </si>
  <si>
    <t xml:space="preserve">Blue = given in the assignment brief.  Yellow = design choice (editable).  Black = calculated.</t>
  </si>
  <si>
    <t xml:space="preserve">Quantity</t>
  </si>
  <si>
    <t xml:space="preserve">Value</t>
  </si>
  <si>
    <t xml:space="preserve">Unit</t>
  </si>
  <si>
    <t xml:space="preserve">Symbol in the mathematical model</t>
  </si>
  <si>
    <t xml:space="preserve">CSP plant (heliostat field, receiver, Rankine cycle)</t>
  </si>
  <si>
    <t xml:space="preserve">Mirror reflectivity</t>
  </si>
  <si>
    <t xml:space="preserve">fraction</t>
  </si>
  <si>
    <t xml:space="preserve">Eff_reflectivity</t>
  </si>
  <si>
    <t xml:space="preserve">Average cosine efficiency</t>
  </si>
  <si>
    <t xml:space="preserve">Eff_cosine</t>
  </si>
  <si>
    <t xml:space="preserve">Shading and blocking efficiency</t>
  </si>
  <si>
    <t xml:space="preserve">Eff_shading blocking</t>
  </si>
  <si>
    <t xml:space="preserve">Atmospheric attenuation efficiency</t>
  </si>
  <si>
    <t xml:space="preserve">Eff_atmospheric</t>
  </si>
  <si>
    <t xml:space="preserve">Spillage efficiency</t>
  </si>
  <si>
    <t xml:space="preserve">Eff_spillage</t>
  </si>
  <si>
    <t xml:space="preserve">Receiver absorption efficiency</t>
  </si>
  <si>
    <t xml:space="preserve">Eff_receiver</t>
  </si>
  <si>
    <t xml:space="preserve">Rankine cycle thermal efficiency</t>
  </si>
  <si>
    <t xml:space="preserve">Eff_rankine</t>
  </si>
  <si>
    <t xml:space="preserve">Mirror area per heliostat</t>
  </si>
  <si>
    <t xml:space="preserve">m²</t>
  </si>
  <si>
    <t xml:space="preserve">Area_per heliostat</t>
  </si>
  <si>
    <t xml:space="preserve">Heliostat cost per m²</t>
  </si>
  <si>
    <t xml:space="preserve">EUR/m²</t>
  </si>
  <si>
    <t xml:space="preserve">Cost_CSP</t>
  </si>
  <si>
    <t xml:space="preserve">PVT panels (flat plate collector)</t>
  </si>
  <si>
    <t xml:space="preserve">PVT electrical efficiency</t>
  </si>
  <si>
    <t xml:space="preserve">Eff_PVT,elec</t>
  </si>
  <si>
    <t xml:space="preserve">Effective optical fraction (share of sunlight absorbed)</t>
  </si>
  <si>
    <t xml:space="preserve">Frac_absorbed</t>
  </si>
  <si>
    <t xml:space="preserve">Overall heat loss coefficient</t>
  </si>
  <si>
    <t xml:space="preserve">W/(m²·K)</t>
  </si>
  <si>
    <t xml:space="preserve">Coef_heat loss</t>
  </si>
  <si>
    <t xml:space="preserve">Collector heat removal factor</t>
  </si>
  <si>
    <t xml:space="preserve">Factor_heat removal</t>
  </si>
  <si>
    <t xml:space="preserve">Inlet water temperature</t>
  </si>
  <si>
    <t xml:space="preserve">°C</t>
  </si>
  <si>
    <t xml:space="preserve">T_water in</t>
  </si>
  <si>
    <t xml:space="preserve">Water flow rate through one PVT panel</t>
  </si>
  <si>
    <t xml:space="preserve">kg/s</t>
  </si>
  <si>
    <t xml:space="preserve">FlowRate_per PVT panel</t>
  </si>
  <si>
    <t xml:space="preserve">Specific heat of water (standard value)</t>
  </si>
  <si>
    <t xml:space="preserve">J/(kg·K)</t>
  </si>
  <si>
    <t xml:space="preserve">c_p,water</t>
  </si>
  <si>
    <t xml:space="preserve">Area per PVT panel (2 m × 2 m)</t>
  </si>
  <si>
    <t xml:space="preserve">Area_per PVT panel</t>
  </si>
  <si>
    <t xml:space="preserve">PVT cost per m²</t>
  </si>
  <si>
    <t xml:space="preserve">Cost_PVT</t>
  </si>
  <si>
    <t xml:space="preserve">Site and rules</t>
  </si>
  <si>
    <t xml:space="preserve">Maximum available collector area</t>
  </si>
  <si>
    <t xml:space="preserve">Area_max</t>
  </si>
  <si>
    <t xml:space="preserve">Minimum share of electricity from CSP</t>
  </si>
  <si>
    <t xml:space="preserve">Share_CSP,min</t>
  </si>
  <si>
    <t xml:space="preserve">Degraded mirror reflectivity (Q7)</t>
  </si>
  <si>
    <t xml:space="preserve">–</t>
  </si>
  <si>
    <t xml:space="preserve">Unit conversions</t>
  </si>
  <si>
    <t xml:space="preserve">Energy of 1 W sustained for 1 hour</t>
  </si>
  <si>
    <t xml:space="preserve">GJ</t>
  </si>
  <si>
    <t xml:space="preserve">GJ_per W-hr</t>
  </si>
  <si>
    <t xml:space="preserve">Chosen design (cost optimum)</t>
  </si>
  <si>
    <t xml:space="preserve">Number of heliostats</t>
  </si>
  <si>
    <t xml:space="preserve">units</t>
  </si>
  <si>
    <t xml:space="preserve">Count_heliostats</t>
  </si>
  <si>
    <t xml:space="preserve">Number of PVT panels</t>
  </si>
  <si>
    <t xml:space="preserve">Count_PVT panels</t>
  </si>
  <si>
    <t xml:space="preserve">Calculated from the above</t>
  </si>
  <si>
    <t xml:space="preserve">Total mirror area</t>
  </si>
  <si>
    <t xml:space="preserve">Area_CSP</t>
  </si>
  <si>
    <t xml:space="preserve">Total PVT area</t>
  </si>
  <si>
    <t xml:space="preserve">Area_PVT</t>
  </si>
  <si>
    <t xml:space="preserve">Total collector area used</t>
  </si>
  <si>
    <t xml:space="preserve">Optical efficiency of the heliostat field</t>
  </si>
  <si>
    <t xml:space="preserve">Eff_optical</t>
  </si>
  <si>
    <t xml:space="preserve">CSP efficiency, sunlight to electricity</t>
  </si>
  <si>
    <t xml:space="preserve">Eff_CSP</t>
  </si>
  <si>
    <t xml:space="preserve">CSP efficiency with degraded mirrors (Q7)</t>
  </si>
  <si>
    <t xml:space="preserve">Cost of heliostats</t>
  </si>
  <si>
    <t xml:space="preserve">EUR</t>
  </si>
  <si>
    <t xml:space="preserve">Cost of PVT panels</t>
  </si>
  <si>
    <t xml:space="preserve">Total investment cost</t>
  </si>
  <si>
    <t xml:space="preserve">Cost_total</t>
  </si>
  <si>
    <t xml:space="preserve">June 2019: hourly plant output and demand</t>
  </si>
  <si>
    <t xml:space="preserve">Design from the Inputs sheet. Supply and demand are energy delivered within each hour. Per-m² outputs are power.</t>
  </si>
  <si>
    <t xml:space="preserve">Hour of day</t>
  </si>
  <si>
    <t xml:space="preserve">Solar irradiance
[W/m²]</t>
  </si>
  <si>
    <t xml:space="preserve">Ambient temperature
[°C]</t>
  </si>
  <si>
    <t xml:space="preserve">Electricity demand
[GJ]</t>
  </si>
  <si>
    <t xml:space="preserve">Heat demand
[GJ]</t>
  </si>
  <si>
    <t xml:space="preserve">Sunlit hour
[1 = yes]</t>
  </si>
  <si>
    <t xml:space="preserve">CSP electricity per m² of mirror
[W/m²]</t>
  </si>
  <si>
    <t xml:space="preserve">PVT electricity per m² of panel
[W/m²]</t>
  </si>
  <si>
    <t xml:space="preserve">PVT: sunlight absorbed
[W/m²]</t>
  </si>
  <si>
    <t xml:space="preserve">PVT: convection loss
[W/m²]</t>
  </si>
  <si>
    <t xml:space="preserve">PVT useful heat per m² of panel
[W/m²]</t>
  </si>
  <si>
    <t xml:space="preserve">PVT water outlet temperature
[°C]</t>
  </si>
  <si>
    <t xml:space="preserve">Electricity supplied by CSP
[GJ]</t>
  </si>
  <si>
    <t xml:space="preserve">Electricity supplied by PVT
[GJ]</t>
  </si>
  <si>
    <t xml:space="preserve">Total electricity supplied
[GJ]</t>
  </si>
  <si>
    <t xml:space="preserve">Heat supplied by PVT
[GJ]</t>
  </si>
  <si>
    <t xml:space="preserve">Electricity surplus (+) or shortfall (−)
[GJ]</t>
  </si>
  <si>
    <t xml:space="preserve">Heat surplus (+) or shortfall (−)
[GJ]</t>
  </si>
  <si>
    <t xml:space="preserve">Q7: electricity by CSP, degraded mirrors
[GJ]</t>
  </si>
  <si>
    <t xml:space="preserve">Q7: total electricity, degraded mirrors
[GJ]</t>
  </si>
  <si>
    <t xml:space="preserve">Day total</t>
  </si>
  <si>
    <t xml:space="preserve">Sunlit hours only</t>
  </si>
  <si>
    <t xml:space="preserve">December 2019: hourly plant output and demand</t>
  </si>
  <si>
    <t xml:space="preserve">Cost sweep: cheapest number of heliostats for each number of PVT panels</t>
  </si>
  <si>
    <t xml:space="preserve">Data behind the design-space figure. Values calculated by the script. The highlighted row is the cost optimum.</t>
  </si>
  <si>
    <t xml:space="preserve">Fewest heliostats meeting electricity demand and 60% CSP share (both days)</t>
  </si>
  <si>
    <t xml:space="preserve">Heat demand met on both days</t>
  </si>
  <si>
    <t xml:space="preserve">Design feasible</t>
  </si>
  <si>
    <t xml:space="preserve">Total cost
[EUR]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</si>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</sst>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E+00"/>
    <numFmt numFmtId="166" formatCode="#,##0"/>
    <numFmt numFmtId="167" formatCode="0.000"/>
    <numFmt numFmtId="168" formatCode="0"/>
    <numFmt numFmtId="169" formatCode="0.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3A4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EF1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2E3A4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A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</row>
    <row r="6" customFormat="false" ht="15" hidden="false" customHeight="false" outlineLevel="0" collapsed="false">
      <c r="A6" s="5" t="s">
        <v>7</v>
      </c>
      <c r="B6" s="6" t="n">
        <v>0.95</v>
      </c>
      <c r="C6" s="5" t="s">
        <v>8</v>
      </c>
      <c r="D6" s="2" t="s">
        <v>9</v>
      </c>
    </row>
    <row r="7" customFormat="false" ht="15" hidden="false" customHeight="false" outlineLevel="0" collapsed="false">
      <c r="A7" s="5" t="s">
        <v>10</v>
      </c>
      <c r="B7" s="6" t="n">
        <v>0.86</v>
      </c>
      <c r="C7" s="5" t="s">
        <v>8</v>
      </c>
      <c r="D7" s="2" t="s">
        <v>11</v>
      </c>
    </row>
    <row r="8" customFormat="false" ht="15" hidden="false" customHeight="false" outlineLevel="0" collapsed="false">
      <c r="A8" s="5" t="s">
        <v>12</v>
      </c>
      <c r="B8" s="6" t="n">
        <v>0.89</v>
      </c>
      <c r="C8" s="5" t="s">
        <v>8</v>
      </c>
      <c r="D8" s="2" t="s">
        <v>13</v>
      </c>
    </row>
    <row r="9" customFormat="false" ht="15" hidden="false" customHeight="false" outlineLevel="0" collapsed="false">
      <c r="A9" s="5" t="s">
        <v>14</v>
      </c>
      <c r="B9" s="6" t="n">
        <v>0.97</v>
      </c>
      <c r="C9" s="5" t="s">
        <v>8</v>
      </c>
      <c r="D9" s="2" t="s">
        <v>15</v>
      </c>
    </row>
    <row r="10" customFormat="false" ht="15" hidden="false" customHeight="false" outlineLevel="0" collapsed="false">
      <c r="A10" s="5" t="s">
        <v>16</v>
      </c>
      <c r="B10" s="6" t="n">
        <v>0.92</v>
      </c>
      <c r="C10" s="5" t="s">
        <v>8</v>
      </c>
      <c r="D10" s="2" t="s">
        <v>17</v>
      </c>
    </row>
    <row r="11" customFormat="false" ht="15" hidden="false" customHeight="false" outlineLevel="0" collapsed="false">
      <c r="A11" s="5" t="s">
        <v>18</v>
      </c>
      <c r="B11" s="6" t="n">
        <v>0.8</v>
      </c>
      <c r="C11" s="5" t="s">
        <v>8</v>
      </c>
      <c r="D11" s="2" t="s">
        <v>19</v>
      </c>
    </row>
    <row r="12" customFormat="false" ht="15" hidden="false" customHeight="false" outlineLevel="0" collapsed="false">
      <c r="A12" s="5" t="s">
        <v>20</v>
      </c>
      <c r="B12" s="6" t="n">
        <v>0.42</v>
      </c>
      <c r="C12" s="5" t="s">
        <v>8</v>
      </c>
      <c r="D12" s="2" t="s">
        <v>21</v>
      </c>
    </row>
    <row r="13" customFormat="false" ht="15" hidden="false" customHeight="false" outlineLevel="0" collapsed="false">
      <c r="A13" s="5" t="s">
        <v>22</v>
      </c>
      <c r="B13" s="6" t="n">
        <v>220</v>
      </c>
      <c r="C13" s="5" t="s">
        <v>23</v>
      </c>
      <c r="D13" s="2" t="s">
        <v>24</v>
      </c>
    </row>
    <row r="14" customFormat="false" ht="15" hidden="false" customHeight="false" outlineLevel="0" collapsed="false">
      <c r="A14" s="5" t="s">
        <v>25</v>
      </c>
      <c r="B14" s="6" t="n">
        <v>80</v>
      </c>
      <c r="C14" s="5" t="s">
        <v>26</v>
      </c>
      <c r="D14" s="2" t="s">
        <v>27</v>
      </c>
    </row>
    <row r="16" customFormat="false" ht="15" hidden="false" customHeight="false" outlineLevel="0" collapsed="false">
      <c r="A16" s="4" t="s">
        <v>28</v>
      </c>
    </row>
    <row r="17" customFormat="false" ht="15" hidden="false" customHeight="false" outlineLevel="0" collapsed="false">
      <c r="A17" s="5" t="s">
        <v>29</v>
      </c>
      <c r="B17" s="6" t="n">
        <v>0.16</v>
      </c>
      <c r="C17" s="5" t="s">
        <v>8</v>
      </c>
      <c r="D17" s="2" t="s">
        <v>30</v>
      </c>
    </row>
    <row r="18" customFormat="false" ht="15" hidden="false" customHeight="false" outlineLevel="0" collapsed="false">
      <c r="A18" s="5" t="s">
        <v>31</v>
      </c>
      <c r="B18" s="6" t="n">
        <v>0.86</v>
      </c>
      <c r="C18" s="5" t="s">
        <v>8</v>
      </c>
      <c r="D18" s="2" t="s">
        <v>32</v>
      </c>
    </row>
    <row r="19" customFormat="false" ht="15" hidden="false" customHeight="false" outlineLevel="0" collapsed="false">
      <c r="A19" s="5" t="s">
        <v>33</v>
      </c>
      <c r="B19" s="6" t="n">
        <v>12</v>
      </c>
      <c r="C19" s="5" t="s">
        <v>34</v>
      </c>
      <c r="D19" s="2" t="s">
        <v>35</v>
      </c>
    </row>
    <row r="20" customFormat="false" ht="15" hidden="false" customHeight="false" outlineLevel="0" collapsed="false">
      <c r="A20" s="5" t="s">
        <v>36</v>
      </c>
      <c r="B20" s="6" t="n">
        <v>0.65</v>
      </c>
      <c r="C20" s="5" t="s">
        <v>8</v>
      </c>
      <c r="D20" s="2" t="s">
        <v>37</v>
      </c>
    </row>
    <row r="21" customFormat="false" ht="15" hidden="false" customHeight="false" outlineLevel="0" collapsed="false">
      <c r="A21" s="5" t="s">
        <v>38</v>
      </c>
      <c r="B21" s="6" t="n">
        <v>35</v>
      </c>
      <c r="C21" s="5" t="s">
        <v>39</v>
      </c>
      <c r="D21" s="2" t="s">
        <v>40</v>
      </c>
    </row>
    <row r="22" customFormat="false" ht="15" hidden="false" customHeight="false" outlineLevel="0" collapsed="false">
      <c r="A22" s="5" t="s">
        <v>41</v>
      </c>
      <c r="B22" s="6" t="n">
        <v>0.2</v>
      </c>
      <c r="C22" s="5" t="s">
        <v>42</v>
      </c>
      <c r="D22" s="2" t="s">
        <v>43</v>
      </c>
    </row>
    <row r="23" customFormat="false" ht="15" hidden="false" customHeight="false" outlineLevel="0" collapsed="false">
      <c r="A23" s="5" t="s">
        <v>44</v>
      </c>
      <c r="B23" s="6" t="n">
        <v>4186</v>
      </c>
      <c r="C23" s="5" t="s">
        <v>45</v>
      </c>
      <c r="D23" s="2" t="s">
        <v>46</v>
      </c>
    </row>
    <row r="24" customFormat="false" ht="15" hidden="false" customHeight="false" outlineLevel="0" collapsed="false">
      <c r="A24" s="5" t="s">
        <v>47</v>
      </c>
      <c r="B24" s="6" t="n">
        <v>4</v>
      </c>
      <c r="C24" s="5" t="s">
        <v>23</v>
      </c>
      <c r="D24" s="2" t="s">
        <v>48</v>
      </c>
    </row>
    <row r="25" customFormat="false" ht="15" hidden="false" customHeight="false" outlineLevel="0" collapsed="false">
      <c r="A25" s="5" t="s">
        <v>49</v>
      </c>
      <c r="B25" s="6" t="n">
        <v>150</v>
      </c>
      <c r="C25" s="5" t="s">
        <v>26</v>
      </c>
      <c r="D25" s="2" t="s">
        <v>50</v>
      </c>
    </row>
    <row r="27" customFormat="false" ht="15" hidden="false" customHeight="false" outlineLevel="0" collapsed="false">
      <c r="A27" s="4" t="s">
        <v>51</v>
      </c>
    </row>
    <row r="28" customFormat="false" ht="15" hidden="false" customHeight="false" outlineLevel="0" collapsed="false">
      <c r="A28" s="5" t="s">
        <v>52</v>
      </c>
      <c r="B28" s="6" t="n">
        <v>450000</v>
      </c>
      <c r="C28" s="5" t="s">
        <v>23</v>
      </c>
      <c r="D28" s="2" t="s">
        <v>53</v>
      </c>
    </row>
    <row r="29" customFormat="false" ht="15" hidden="false" customHeight="false" outlineLevel="0" collapsed="false">
      <c r="A29" s="5" t="s">
        <v>54</v>
      </c>
      <c r="B29" s="6" t="n">
        <v>0.6</v>
      </c>
      <c r="C29" s="5" t="s">
        <v>8</v>
      </c>
      <c r="D29" s="2" t="s">
        <v>55</v>
      </c>
    </row>
    <row r="30" customFormat="false" ht="15" hidden="false" customHeight="false" outlineLevel="0" collapsed="false">
      <c r="A30" s="5" t="s">
        <v>56</v>
      </c>
      <c r="B30" s="6" t="n">
        <v>0.85</v>
      </c>
      <c r="C30" s="5" t="s">
        <v>8</v>
      </c>
      <c r="D30" s="2" t="s">
        <v>57</v>
      </c>
    </row>
    <row r="32" customFormat="false" ht="15" hidden="false" customHeight="false" outlineLevel="0" collapsed="false">
      <c r="A32" s="4" t="s">
        <v>58</v>
      </c>
    </row>
    <row r="33" customFormat="false" ht="15" hidden="false" customHeight="false" outlineLevel="0" collapsed="false">
      <c r="A33" s="5" t="s">
        <v>59</v>
      </c>
      <c r="B33" s="7" t="n">
        <v>3.6E-006</v>
      </c>
      <c r="C33" s="5" t="s">
        <v>60</v>
      </c>
      <c r="D33" s="2" t="s">
        <v>61</v>
      </c>
    </row>
    <row r="35" customFormat="false" ht="15" hidden="false" customHeight="false" outlineLevel="0" collapsed="false">
      <c r="A35" s="4" t="s">
        <v>62</v>
      </c>
    </row>
    <row r="36" customFormat="false" ht="15" hidden="false" customHeight="false" outlineLevel="0" collapsed="false">
      <c r="A36" s="5" t="s">
        <v>63</v>
      </c>
      <c r="B36" s="8" t="n">
        <v>215</v>
      </c>
      <c r="C36" s="5" t="s">
        <v>64</v>
      </c>
      <c r="D36" s="2" t="s">
        <v>65</v>
      </c>
    </row>
    <row r="37" customFormat="false" ht="15" hidden="false" customHeight="false" outlineLevel="0" collapsed="false">
      <c r="A37" s="5" t="s">
        <v>66</v>
      </c>
      <c r="B37" s="8" t="n">
        <v>9559</v>
      </c>
      <c r="C37" s="5" t="s">
        <v>64</v>
      </c>
      <c r="D37" s="2" t="s">
        <v>67</v>
      </c>
    </row>
    <row r="39" customFormat="false" ht="15" hidden="false" customHeight="false" outlineLevel="0" collapsed="false">
      <c r="A39" s="4" t="s">
        <v>68</v>
      </c>
    </row>
    <row r="40" customFormat="false" ht="15" hidden="false" customHeight="false" outlineLevel="0" collapsed="false">
      <c r="A40" s="5" t="s">
        <v>69</v>
      </c>
      <c r="B40" s="9" t="n">
        <f aca="false">$B$36*$B$13</f>
        <v>47300</v>
      </c>
      <c r="C40" s="5" t="s">
        <v>23</v>
      </c>
      <c r="D40" s="2" t="s">
        <v>70</v>
      </c>
    </row>
    <row r="41" customFormat="false" ht="15" hidden="false" customHeight="false" outlineLevel="0" collapsed="false">
      <c r="A41" s="5" t="s">
        <v>71</v>
      </c>
      <c r="B41" s="9" t="n">
        <f aca="false">$B$37*$B$24</f>
        <v>38236</v>
      </c>
      <c r="C41" s="5" t="s">
        <v>23</v>
      </c>
      <c r="D41" s="2" t="s">
        <v>72</v>
      </c>
    </row>
    <row r="42" customFormat="false" ht="15" hidden="false" customHeight="false" outlineLevel="0" collapsed="false">
      <c r="A42" s="5" t="s">
        <v>73</v>
      </c>
      <c r="B42" s="9" t="n">
        <f aca="false">$B$40+$B$41</f>
        <v>85536</v>
      </c>
      <c r="C42" s="5" t="s">
        <v>23</v>
      </c>
      <c r="D42" s="2"/>
    </row>
    <row r="43" customFormat="false" ht="15" hidden="false" customHeight="false" outlineLevel="0" collapsed="false">
      <c r="A43" s="5" t="s">
        <v>74</v>
      </c>
      <c r="B43" s="10" t="n">
        <f aca="false">$B$6*$B$7*$B$8*$B$9*$B$10</f>
        <v>0.648890812</v>
      </c>
      <c r="C43" s="5" t="s">
        <v>8</v>
      </c>
      <c r="D43" s="2" t="s">
        <v>75</v>
      </c>
    </row>
    <row r="44" customFormat="false" ht="15" hidden="false" customHeight="false" outlineLevel="0" collapsed="false">
      <c r="A44" s="5" t="s">
        <v>76</v>
      </c>
      <c r="B44" s="10" t="n">
        <f aca="false">$B$43*$B$11*$B$12</f>
        <v>0.218027312832</v>
      </c>
      <c r="C44" s="5" t="s">
        <v>8</v>
      </c>
      <c r="D44" s="2" t="s">
        <v>77</v>
      </c>
    </row>
    <row r="45" customFormat="false" ht="15" hidden="false" customHeight="false" outlineLevel="0" collapsed="false">
      <c r="A45" s="5" t="s">
        <v>78</v>
      </c>
      <c r="B45" s="10" t="n">
        <f aca="false">$B$30*$B$7*$B$8*$B$9*$B$10*$B$11*$B$12</f>
        <v>0.195077069376</v>
      </c>
      <c r="C45" s="5" t="s">
        <v>8</v>
      </c>
      <c r="D45" s="2" t="s">
        <v>57</v>
      </c>
    </row>
    <row r="46" customFormat="false" ht="15" hidden="false" customHeight="false" outlineLevel="0" collapsed="false">
      <c r="A46" s="5" t="s">
        <v>79</v>
      </c>
      <c r="B46" s="9" t="n">
        <f aca="false">$B$14*$B$40</f>
        <v>3784000</v>
      </c>
      <c r="C46" s="5" t="s">
        <v>80</v>
      </c>
      <c r="D46" s="2"/>
    </row>
    <row r="47" customFormat="false" ht="15" hidden="false" customHeight="false" outlineLevel="0" collapsed="false">
      <c r="A47" s="5" t="s">
        <v>81</v>
      </c>
      <c r="B47" s="9" t="n">
        <f aca="false">$B$25*$B$41</f>
        <v>5735400</v>
      </c>
      <c r="C47" s="5" t="s">
        <v>80</v>
      </c>
      <c r="D47" s="2"/>
    </row>
    <row r="48" customFormat="false" ht="15" hidden="false" customHeight="false" outlineLevel="0" collapsed="false">
      <c r="A48" s="4" t="s">
        <v>82</v>
      </c>
      <c r="B48" s="11" t="n">
        <f aca="false">$B$46+$B$47</f>
        <v>9519400</v>
      </c>
      <c r="C48" s="5" t="s">
        <v>80</v>
      </c>
      <c r="D48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0" min="2" style="0" width="15"/>
  </cols>
  <sheetData>
    <row r="1" customFormat="false" ht="16.1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61.5" hidden="false" customHeight="true" outlineLevel="0" collapsed="false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105</v>
      </c>
    </row>
    <row r="4" customFormat="false" ht="15" hidden="false" customHeight="false" outlineLevel="0" collapsed="false">
      <c r="A4" s="12" t="n">
        <v>0</v>
      </c>
      <c r="B4" s="13" t="n">
        <v>0</v>
      </c>
      <c r="C4" s="14" t="n">
        <v>6.5</v>
      </c>
      <c r="D4" s="15" t="n">
        <v>4.9</v>
      </c>
      <c r="E4" s="15" t="n">
        <v>2.871</v>
      </c>
      <c r="F4" s="16" t="n">
        <f aca="false">IF(B4&gt;0,1,0)</f>
        <v>0</v>
      </c>
      <c r="G4" s="17" t="n">
        <f aca="false">Inputs!$B$44*B4</f>
        <v>0</v>
      </c>
      <c r="H4" s="17" t="n">
        <f aca="false">Inputs!$B$17*B4</f>
        <v>0</v>
      </c>
      <c r="I4" s="17" t="n">
        <f aca="false">Inputs!$B$18*B4</f>
        <v>0</v>
      </c>
      <c r="J4" s="17" t="n">
        <f aca="false">Inputs!$B$19*(Inputs!$B$21-C4)</f>
        <v>342</v>
      </c>
      <c r="K4" s="17" t="n">
        <f aca="false">MAX(0,Inputs!$B$20*(I4-J4))</f>
        <v>0</v>
      </c>
      <c r="L4" s="18" t="n">
        <f aca="false">Inputs!$B$21+K4*Inputs!$B$24/(Inputs!$B$22*Inputs!$B$23)</f>
        <v>35</v>
      </c>
      <c r="M4" s="18" t="n">
        <f aca="false">Inputs!$B$33*Inputs!$B$40*G4</f>
        <v>0</v>
      </c>
      <c r="N4" s="18" t="n">
        <f aca="false">Inputs!$B$33*Inputs!$B$41*H4</f>
        <v>0</v>
      </c>
      <c r="O4" s="19" t="n">
        <f aca="false">M4+N4</f>
        <v>0</v>
      </c>
      <c r="P4" s="18" t="n">
        <f aca="false">Inputs!$B$33*Inputs!$B$41*K4</f>
        <v>0</v>
      </c>
      <c r="Q4" s="19" t="n">
        <f aca="false">O4-D4</f>
        <v>-4.9</v>
      </c>
      <c r="R4" s="19" t="n">
        <f aca="false">P4-E4</f>
        <v>-2.871</v>
      </c>
      <c r="S4" s="18" t="n">
        <f aca="false">Inputs!$B$33*Inputs!$B$40*Inputs!$B$45*B4</f>
        <v>0</v>
      </c>
      <c r="T4" s="19" t="n">
        <f aca="false">S4+N4</f>
        <v>0</v>
      </c>
    </row>
    <row r="5" customFormat="false" ht="15" hidden="false" customHeight="false" outlineLevel="0" collapsed="false">
      <c r="A5" s="12" t="n">
        <v>1</v>
      </c>
      <c r="B5" s="13" t="n">
        <v>0</v>
      </c>
      <c r="C5" s="14" t="n">
        <v>7</v>
      </c>
      <c r="D5" s="15" t="n">
        <v>2.9</v>
      </c>
      <c r="E5" s="15" t="n">
        <v>2.508</v>
      </c>
      <c r="F5" s="16" t="n">
        <f aca="false">IF(B5&gt;0,1,0)</f>
        <v>0</v>
      </c>
      <c r="G5" s="17" t="n">
        <f aca="false">Inputs!$B$44*B5</f>
        <v>0</v>
      </c>
      <c r="H5" s="17" t="n">
        <f aca="false">Inputs!$B$17*B5</f>
        <v>0</v>
      </c>
      <c r="I5" s="17" t="n">
        <f aca="false">Inputs!$B$18*B5</f>
        <v>0</v>
      </c>
      <c r="J5" s="17" t="n">
        <f aca="false">Inputs!$B$19*(Inputs!$B$21-C5)</f>
        <v>336</v>
      </c>
      <c r="K5" s="17" t="n">
        <f aca="false">MAX(0,Inputs!$B$20*(I5-J5))</f>
        <v>0</v>
      </c>
      <c r="L5" s="18" t="n">
        <f aca="false">Inputs!$B$21+K5*Inputs!$B$24/(Inputs!$B$22*Inputs!$B$23)</f>
        <v>35</v>
      </c>
      <c r="M5" s="18" t="n">
        <f aca="false">Inputs!$B$33*Inputs!$B$40*G5</f>
        <v>0</v>
      </c>
      <c r="N5" s="18" t="n">
        <f aca="false">Inputs!$B$33*Inputs!$B$41*H5</f>
        <v>0</v>
      </c>
      <c r="O5" s="19" t="n">
        <f aca="false">M5+N5</f>
        <v>0</v>
      </c>
      <c r="P5" s="18" t="n">
        <f aca="false">Inputs!$B$33*Inputs!$B$41*K5</f>
        <v>0</v>
      </c>
      <c r="Q5" s="19" t="n">
        <f aca="false">O5-D5</f>
        <v>-2.9</v>
      </c>
      <c r="R5" s="19" t="n">
        <f aca="false">P5-E5</f>
        <v>-2.508</v>
      </c>
      <c r="S5" s="18" t="n">
        <f aca="false">Inputs!$B$33*Inputs!$B$40*Inputs!$B$45*B5</f>
        <v>0</v>
      </c>
      <c r="T5" s="19" t="n">
        <f aca="false">S5+N5</f>
        <v>0</v>
      </c>
    </row>
    <row r="6" customFormat="false" ht="15" hidden="false" customHeight="false" outlineLevel="0" collapsed="false">
      <c r="A6" s="12" t="n">
        <v>2</v>
      </c>
      <c r="B6" s="13" t="n">
        <v>0</v>
      </c>
      <c r="C6" s="14" t="n">
        <v>7</v>
      </c>
      <c r="D6" s="15" t="n">
        <v>2.4</v>
      </c>
      <c r="E6" s="15" t="n">
        <v>2.31</v>
      </c>
      <c r="F6" s="16" t="n">
        <f aca="false">IF(B6&gt;0,1,0)</f>
        <v>0</v>
      </c>
      <c r="G6" s="17" t="n">
        <f aca="false">Inputs!$B$44*B6</f>
        <v>0</v>
      </c>
      <c r="H6" s="17" t="n">
        <f aca="false">Inputs!$B$17*B6</f>
        <v>0</v>
      </c>
      <c r="I6" s="17" t="n">
        <f aca="false">Inputs!$B$18*B6</f>
        <v>0</v>
      </c>
      <c r="J6" s="17" t="n">
        <f aca="false">Inputs!$B$19*(Inputs!$B$21-C6)</f>
        <v>336</v>
      </c>
      <c r="K6" s="17" t="n">
        <f aca="false">MAX(0,Inputs!$B$20*(I6-J6))</f>
        <v>0</v>
      </c>
      <c r="L6" s="18" t="n">
        <f aca="false">Inputs!$B$21+K6*Inputs!$B$24/(Inputs!$B$22*Inputs!$B$23)</f>
        <v>35</v>
      </c>
      <c r="M6" s="18" t="n">
        <f aca="false">Inputs!$B$33*Inputs!$B$40*G6</f>
        <v>0</v>
      </c>
      <c r="N6" s="18" t="n">
        <f aca="false">Inputs!$B$33*Inputs!$B$41*H6</f>
        <v>0</v>
      </c>
      <c r="O6" s="19" t="n">
        <f aca="false">M6+N6</f>
        <v>0</v>
      </c>
      <c r="P6" s="18" t="n">
        <f aca="false">Inputs!$B$33*Inputs!$B$41*K6</f>
        <v>0</v>
      </c>
      <c r="Q6" s="19" t="n">
        <f aca="false">O6-D6</f>
        <v>-2.4</v>
      </c>
      <c r="R6" s="19" t="n">
        <f aca="false">P6-E6</f>
        <v>-2.31</v>
      </c>
      <c r="S6" s="18" t="n">
        <f aca="false">Inputs!$B$33*Inputs!$B$40*Inputs!$B$45*B6</f>
        <v>0</v>
      </c>
      <c r="T6" s="19" t="n">
        <f aca="false">S6+N6</f>
        <v>0</v>
      </c>
    </row>
    <row r="7" customFormat="false" ht="15" hidden="false" customHeight="false" outlineLevel="0" collapsed="false">
      <c r="A7" s="12" t="n">
        <v>3</v>
      </c>
      <c r="B7" s="13" t="n">
        <v>0</v>
      </c>
      <c r="C7" s="14" t="n">
        <v>6</v>
      </c>
      <c r="D7" s="15" t="n">
        <v>1.9</v>
      </c>
      <c r="E7" s="15" t="n">
        <v>1.947</v>
      </c>
      <c r="F7" s="16" t="n">
        <f aca="false">IF(B7&gt;0,1,0)</f>
        <v>0</v>
      </c>
      <c r="G7" s="17" t="n">
        <f aca="false">Inputs!$B$44*B7</f>
        <v>0</v>
      </c>
      <c r="H7" s="17" t="n">
        <f aca="false">Inputs!$B$17*B7</f>
        <v>0</v>
      </c>
      <c r="I7" s="17" t="n">
        <f aca="false">Inputs!$B$18*B7</f>
        <v>0</v>
      </c>
      <c r="J7" s="17" t="n">
        <f aca="false">Inputs!$B$19*(Inputs!$B$21-C7)</f>
        <v>348</v>
      </c>
      <c r="K7" s="17" t="n">
        <f aca="false">MAX(0,Inputs!$B$20*(I7-J7))</f>
        <v>0</v>
      </c>
      <c r="L7" s="18" t="n">
        <f aca="false">Inputs!$B$21+K7*Inputs!$B$24/(Inputs!$B$22*Inputs!$B$23)</f>
        <v>35</v>
      </c>
      <c r="M7" s="18" t="n">
        <f aca="false">Inputs!$B$33*Inputs!$B$40*G7</f>
        <v>0</v>
      </c>
      <c r="N7" s="18" t="n">
        <f aca="false">Inputs!$B$33*Inputs!$B$41*H7</f>
        <v>0</v>
      </c>
      <c r="O7" s="19" t="n">
        <f aca="false">M7+N7</f>
        <v>0</v>
      </c>
      <c r="P7" s="18" t="n">
        <f aca="false">Inputs!$B$33*Inputs!$B$41*K7</f>
        <v>0</v>
      </c>
      <c r="Q7" s="19" t="n">
        <f aca="false">O7-D7</f>
        <v>-1.9</v>
      </c>
      <c r="R7" s="19" t="n">
        <f aca="false">P7-E7</f>
        <v>-1.947</v>
      </c>
      <c r="S7" s="18" t="n">
        <f aca="false">Inputs!$B$33*Inputs!$B$40*Inputs!$B$45*B7</f>
        <v>0</v>
      </c>
      <c r="T7" s="19" t="n">
        <f aca="false">S7+N7</f>
        <v>0</v>
      </c>
    </row>
    <row r="8" customFormat="false" ht="15" hidden="false" customHeight="false" outlineLevel="0" collapsed="false">
      <c r="A8" s="12" t="n">
        <v>4</v>
      </c>
      <c r="B8" s="13" t="n">
        <v>0</v>
      </c>
      <c r="C8" s="14" t="n">
        <v>6</v>
      </c>
      <c r="D8" s="15" t="n">
        <v>1.6</v>
      </c>
      <c r="E8" s="15" t="n">
        <v>2.871</v>
      </c>
      <c r="F8" s="16" t="n">
        <f aca="false">IF(B8&gt;0,1,0)</f>
        <v>0</v>
      </c>
      <c r="G8" s="17" t="n">
        <f aca="false">Inputs!$B$44*B8</f>
        <v>0</v>
      </c>
      <c r="H8" s="17" t="n">
        <f aca="false">Inputs!$B$17*B8</f>
        <v>0</v>
      </c>
      <c r="I8" s="17" t="n">
        <f aca="false">Inputs!$B$18*B8</f>
        <v>0</v>
      </c>
      <c r="J8" s="17" t="n">
        <f aca="false">Inputs!$B$19*(Inputs!$B$21-C8)</f>
        <v>348</v>
      </c>
      <c r="K8" s="17" t="n">
        <f aca="false">MAX(0,Inputs!$B$20*(I8-J8))</f>
        <v>0</v>
      </c>
      <c r="L8" s="18" t="n">
        <f aca="false">Inputs!$B$21+K8*Inputs!$B$24/(Inputs!$B$22*Inputs!$B$23)</f>
        <v>35</v>
      </c>
      <c r="M8" s="18" t="n">
        <f aca="false">Inputs!$B$33*Inputs!$B$40*G8</f>
        <v>0</v>
      </c>
      <c r="N8" s="18" t="n">
        <f aca="false">Inputs!$B$33*Inputs!$B$41*H8</f>
        <v>0</v>
      </c>
      <c r="O8" s="19" t="n">
        <f aca="false">M8+N8</f>
        <v>0</v>
      </c>
      <c r="P8" s="18" t="n">
        <f aca="false">Inputs!$B$33*Inputs!$B$41*K8</f>
        <v>0</v>
      </c>
      <c r="Q8" s="19" t="n">
        <f aca="false">O8-D8</f>
        <v>-1.6</v>
      </c>
      <c r="R8" s="19" t="n">
        <f aca="false">P8-E8</f>
        <v>-2.871</v>
      </c>
      <c r="S8" s="18" t="n">
        <f aca="false">Inputs!$B$33*Inputs!$B$40*Inputs!$B$45*B8</f>
        <v>0</v>
      </c>
      <c r="T8" s="19" t="n">
        <f aca="false">S8+N8</f>
        <v>0</v>
      </c>
    </row>
    <row r="9" customFormat="false" ht="15" hidden="false" customHeight="false" outlineLevel="0" collapsed="false">
      <c r="A9" s="12" t="n">
        <v>5</v>
      </c>
      <c r="B9" s="13" t="n">
        <v>0</v>
      </c>
      <c r="C9" s="14" t="n">
        <v>5</v>
      </c>
      <c r="D9" s="15" t="n">
        <v>2.7</v>
      </c>
      <c r="E9" s="15" t="n">
        <v>4.851</v>
      </c>
      <c r="F9" s="16" t="n">
        <f aca="false">IF(B9&gt;0,1,0)</f>
        <v>0</v>
      </c>
      <c r="G9" s="17" t="n">
        <f aca="false">Inputs!$B$44*B9</f>
        <v>0</v>
      </c>
      <c r="H9" s="17" t="n">
        <f aca="false">Inputs!$B$17*B9</f>
        <v>0</v>
      </c>
      <c r="I9" s="17" t="n">
        <f aca="false">Inputs!$B$18*B9</f>
        <v>0</v>
      </c>
      <c r="J9" s="17" t="n">
        <f aca="false">Inputs!$B$19*(Inputs!$B$21-C9)</f>
        <v>360</v>
      </c>
      <c r="K9" s="17" t="n">
        <f aca="false">MAX(0,Inputs!$B$20*(I9-J9))</f>
        <v>0</v>
      </c>
      <c r="L9" s="18" t="n">
        <f aca="false">Inputs!$B$21+K9*Inputs!$B$24/(Inputs!$B$22*Inputs!$B$23)</f>
        <v>35</v>
      </c>
      <c r="M9" s="18" t="n">
        <f aca="false">Inputs!$B$33*Inputs!$B$40*G9</f>
        <v>0</v>
      </c>
      <c r="N9" s="18" t="n">
        <f aca="false">Inputs!$B$33*Inputs!$B$41*H9</f>
        <v>0</v>
      </c>
      <c r="O9" s="19" t="n">
        <f aca="false">M9+N9</f>
        <v>0</v>
      </c>
      <c r="P9" s="18" t="n">
        <f aca="false">Inputs!$B$33*Inputs!$B$41*K9</f>
        <v>0</v>
      </c>
      <c r="Q9" s="19" t="n">
        <f aca="false">O9-D9</f>
        <v>-2.7</v>
      </c>
      <c r="R9" s="19" t="n">
        <f aca="false">P9-E9</f>
        <v>-4.851</v>
      </c>
      <c r="S9" s="18" t="n">
        <f aca="false">Inputs!$B$33*Inputs!$B$40*Inputs!$B$45*B9</f>
        <v>0</v>
      </c>
      <c r="T9" s="19" t="n">
        <f aca="false">S9+N9</f>
        <v>0</v>
      </c>
    </row>
    <row r="10" customFormat="false" ht="15" hidden="false" customHeight="false" outlineLevel="0" collapsed="false">
      <c r="A10" s="12" t="n">
        <v>6</v>
      </c>
      <c r="B10" s="13" t="n">
        <v>0</v>
      </c>
      <c r="C10" s="14" t="n">
        <v>5</v>
      </c>
      <c r="D10" s="15" t="n">
        <v>6.2</v>
      </c>
      <c r="E10" s="15" t="n">
        <v>6.336</v>
      </c>
      <c r="F10" s="16" t="n">
        <f aca="false">IF(B10&gt;0,1,0)</f>
        <v>0</v>
      </c>
      <c r="G10" s="17" t="n">
        <f aca="false">Inputs!$B$44*B10</f>
        <v>0</v>
      </c>
      <c r="H10" s="17" t="n">
        <f aca="false">Inputs!$B$17*B10</f>
        <v>0</v>
      </c>
      <c r="I10" s="17" t="n">
        <f aca="false">Inputs!$B$18*B10</f>
        <v>0</v>
      </c>
      <c r="J10" s="17" t="n">
        <f aca="false">Inputs!$B$19*(Inputs!$B$21-C10)</f>
        <v>360</v>
      </c>
      <c r="K10" s="17" t="n">
        <f aca="false">MAX(0,Inputs!$B$20*(I10-J10))</f>
        <v>0</v>
      </c>
      <c r="L10" s="18" t="n">
        <f aca="false">Inputs!$B$21+K10*Inputs!$B$24/(Inputs!$B$22*Inputs!$B$23)</f>
        <v>35</v>
      </c>
      <c r="M10" s="18" t="n">
        <f aca="false">Inputs!$B$33*Inputs!$B$40*G10</f>
        <v>0</v>
      </c>
      <c r="N10" s="18" t="n">
        <f aca="false">Inputs!$B$33*Inputs!$B$41*H10</f>
        <v>0</v>
      </c>
      <c r="O10" s="19" t="n">
        <f aca="false">M10+N10</f>
        <v>0</v>
      </c>
      <c r="P10" s="18" t="n">
        <f aca="false">Inputs!$B$33*Inputs!$B$41*K10</f>
        <v>0</v>
      </c>
      <c r="Q10" s="19" t="n">
        <f aca="false">O10-D10</f>
        <v>-6.2</v>
      </c>
      <c r="R10" s="19" t="n">
        <f aca="false">P10-E10</f>
        <v>-6.336</v>
      </c>
      <c r="S10" s="18" t="n">
        <f aca="false">Inputs!$B$33*Inputs!$B$40*Inputs!$B$45*B10</f>
        <v>0</v>
      </c>
      <c r="T10" s="19" t="n">
        <f aca="false">S10+N10</f>
        <v>0</v>
      </c>
    </row>
    <row r="11" customFormat="false" ht="15" hidden="false" customHeight="false" outlineLevel="0" collapsed="false">
      <c r="A11" s="12" t="n">
        <v>7</v>
      </c>
      <c r="B11" s="13" t="n">
        <v>114</v>
      </c>
      <c r="C11" s="14" t="n">
        <v>4</v>
      </c>
      <c r="D11" s="15" t="n">
        <v>14.8</v>
      </c>
      <c r="E11" s="15" t="n">
        <v>7.161</v>
      </c>
      <c r="F11" s="16" t="n">
        <f aca="false">IF(B11&gt;0,1,0)</f>
        <v>1</v>
      </c>
      <c r="G11" s="17" t="n">
        <f aca="false">Inputs!$B$44*B11</f>
        <v>24.855113662848</v>
      </c>
      <c r="H11" s="17" t="n">
        <f aca="false">Inputs!$B$17*B11</f>
        <v>18.24</v>
      </c>
      <c r="I11" s="17" t="n">
        <f aca="false">Inputs!$B$18*B11</f>
        <v>98.04</v>
      </c>
      <c r="J11" s="17" t="n">
        <f aca="false">Inputs!$B$19*(Inputs!$B$21-C11)</f>
        <v>372</v>
      </c>
      <c r="K11" s="17" t="n">
        <f aca="false">MAX(0,Inputs!$B$20*(I11-J11))</f>
        <v>0</v>
      </c>
      <c r="L11" s="18" t="n">
        <f aca="false">Inputs!$B$21+K11*Inputs!$B$24/(Inputs!$B$22*Inputs!$B$23)</f>
        <v>35</v>
      </c>
      <c r="M11" s="18" t="n">
        <f aca="false">Inputs!$B$33*Inputs!$B$40*G11</f>
        <v>4.23232875450976</v>
      </c>
      <c r="N11" s="18" t="n">
        <f aca="false">Inputs!$B$33*Inputs!$B$41*H11</f>
        <v>2.510728704</v>
      </c>
      <c r="O11" s="19" t="n">
        <f aca="false">M11+N11</f>
        <v>6.74305745850976</v>
      </c>
      <c r="P11" s="18" t="n">
        <f aca="false">Inputs!$B$33*Inputs!$B$41*K11</f>
        <v>0</v>
      </c>
      <c r="Q11" s="19" t="n">
        <f aca="false">O11-D11</f>
        <v>-8.05694254149024</v>
      </c>
      <c r="R11" s="19" t="n">
        <f aca="false">P11-E11</f>
        <v>-7.161</v>
      </c>
      <c r="S11" s="18" t="n">
        <f aca="false">Inputs!$B$33*Inputs!$B$40*Inputs!$B$45*B11</f>
        <v>3.78682046456136</v>
      </c>
      <c r="T11" s="19" t="n">
        <f aca="false">S11+N11</f>
        <v>6.29754916856136</v>
      </c>
    </row>
    <row r="12" customFormat="false" ht="15" hidden="false" customHeight="false" outlineLevel="0" collapsed="false">
      <c r="A12" s="12" t="n">
        <v>8</v>
      </c>
      <c r="B12" s="13" t="n">
        <v>326</v>
      </c>
      <c r="C12" s="14" t="n">
        <v>5</v>
      </c>
      <c r="D12" s="15" t="n">
        <v>33.2</v>
      </c>
      <c r="E12" s="15" t="n">
        <v>7.722</v>
      </c>
      <c r="F12" s="16" t="n">
        <f aca="false">IF(B12&gt;0,1,0)</f>
        <v>1</v>
      </c>
      <c r="G12" s="17" t="n">
        <f aca="false">Inputs!$B$44*B12</f>
        <v>71.076903983232</v>
      </c>
      <c r="H12" s="17" t="n">
        <f aca="false">Inputs!$B$17*B12</f>
        <v>52.16</v>
      </c>
      <c r="I12" s="17" t="n">
        <f aca="false">Inputs!$B$18*B12</f>
        <v>280.36</v>
      </c>
      <c r="J12" s="17" t="n">
        <f aca="false">Inputs!$B$19*(Inputs!$B$21-C12)</f>
        <v>360</v>
      </c>
      <c r="K12" s="17" t="n">
        <f aca="false">MAX(0,Inputs!$B$20*(I12-J12))</f>
        <v>0</v>
      </c>
      <c r="L12" s="18" t="n">
        <f aca="false">Inputs!$B$21+K12*Inputs!$B$24/(Inputs!$B$22*Inputs!$B$23)</f>
        <v>35</v>
      </c>
      <c r="M12" s="18" t="n">
        <f aca="false">Inputs!$B$33*Inputs!$B$40*G12</f>
        <v>12.1029752102647</v>
      </c>
      <c r="N12" s="18" t="n">
        <f aca="false">Inputs!$B$33*Inputs!$B$41*H12</f>
        <v>7.179803136</v>
      </c>
      <c r="O12" s="19" t="n">
        <f aca="false">M12+N12</f>
        <v>19.2827783462647</v>
      </c>
      <c r="P12" s="18" t="n">
        <f aca="false">Inputs!$B$33*Inputs!$B$41*K12</f>
        <v>0</v>
      </c>
      <c r="Q12" s="19" t="n">
        <f aca="false">O12-D12</f>
        <v>-13.9172216537353</v>
      </c>
      <c r="R12" s="19" t="n">
        <f aca="false">P12-E12</f>
        <v>-7.722</v>
      </c>
      <c r="S12" s="18" t="n">
        <f aca="false">Inputs!$B$33*Inputs!$B$40*Inputs!$B$45*B12</f>
        <v>10.8289778197106</v>
      </c>
      <c r="T12" s="19" t="n">
        <f aca="false">S12+N12</f>
        <v>18.0087809557106</v>
      </c>
    </row>
    <row r="13" customFormat="false" ht="15" hidden="false" customHeight="false" outlineLevel="0" collapsed="false">
      <c r="A13" s="12" t="n">
        <v>9</v>
      </c>
      <c r="B13" s="13" t="n">
        <v>252</v>
      </c>
      <c r="C13" s="14" t="n">
        <v>6</v>
      </c>
      <c r="D13" s="15" t="n">
        <v>26.9</v>
      </c>
      <c r="E13" s="15" t="n">
        <v>9.108</v>
      </c>
      <c r="F13" s="16" t="n">
        <f aca="false">IF(B13&gt;0,1,0)</f>
        <v>1</v>
      </c>
      <c r="G13" s="17" t="n">
        <f aca="false">Inputs!$B$44*B13</f>
        <v>54.942882833664</v>
      </c>
      <c r="H13" s="17" t="n">
        <f aca="false">Inputs!$B$17*B13</f>
        <v>40.32</v>
      </c>
      <c r="I13" s="17" t="n">
        <f aca="false">Inputs!$B$18*B13</f>
        <v>216.72</v>
      </c>
      <c r="J13" s="17" t="n">
        <f aca="false">Inputs!$B$19*(Inputs!$B$21-C13)</f>
        <v>348</v>
      </c>
      <c r="K13" s="17" t="n">
        <f aca="false">MAX(0,Inputs!$B$20*(I13-J13))</f>
        <v>0</v>
      </c>
      <c r="L13" s="18" t="n">
        <f aca="false">Inputs!$B$21+K13*Inputs!$B$24/(Inputs!$B$22*Inputs!$B$23)</f>
        <v>35</v>
      </c>
      <c r="M13" s="18" t="n">
        <f aca="false">Inputs!$B$33*Inputs!$B$40*G13</f>
        <v>9.3556740889163</v>
      </c>
      <c r="N13" s="18" t="n">
        <f aca="false">Inputs!$B$33*Inputs!$B$41*H13</f>
        <v>5.550031872</v>
      </c>
      <c r="O13" s="19" t="n">
        <f aca="false">M13+N13</f>
        <v>14.9057059609163</v>
      </c>
      <c r="P13" s="18" t="n">
        <f aca="false">Inputs!$B$33*Inputs!$B$41*K13</f>
        <v>0</v>
      </c>
      <c r="Q13" s="19" t="n">
        <f aca="false">O13-D13</f>
        <v>-11.9942940390837</v>
      </c>
      <c r="R13" s="19" t="n">
        <f aca="false">P13-E13</f>
        <v>-9.108</v>
      </c>
      <c r="S13" s="18" t="n">
        <f aca="false">Inputs!$B$33*Inputs!$B$40*Inputs!$B$45*B13</f>
        <v>8.37086629008301</v>
      </c>
      <c r="T13" s="19" t="n">
        <f aca="false">S13+N13</f>
        <v>13.920898162083</v>
      </c>
    </row>
    <row r="14" customFormat="false" ht="15" hidden="false" customHeight="false" outlineLevel="0" collapsed="false">
      <c r="A14" s="12" t="n">
        <v>10</v>
      </c>
      <c r="B14" s="13" t="n">
        <v>431</v>
      </c>
      <c r="C14" s="14" t="n">
        <v>8</v>
      </c>
      <c r="D14" s="15" t="n">
        <v>15.6</v>
      </c>
      <c r="E14" s="15" t="n">
        <v>11.022</v>
      </c>
      <c r="F14" s="16" t="n">
        <f aca="false">IF(B14&gt;0,1,0)</f>
        <v>1</v>
      </c>
      <c r="G14" s="17" t="n">
        <f aca="false">Inputs!$B$44*B14</f>
        <v>93.969771830592</v>
      </c>
      <c r="H14" s="17" t="n">
        <f aca="false">Inputs!$B$17*B14</f>
        <v>68.96</v>
      </c>
      <c r="I14" s="17" t="n">
        <f aca="false">Inputs!$B$18*B14</f>
        <v>370.66</v>
      </c>
      <c r="J14" s="17" t="n">
        <f aca="false">Inputs!$B$19*(Inputs!$B$21-C14)</f>
        <v>324</v>
      </c>
      <c r="K14" s="17" t="n">
        <f aca="false">MAX(0,Inputs!$B$20*(I14-J14))</f>
        <v>30.329</v>
      </c>
      <c r="L14" s="18" t="n">
        <f aca="false">Inputs!$B$21+K14*Inputs!$B$24/(Inputs!$B$22*Inputs!$B$23)</f>
        <v>35.1449068322981</v>
      </c>
      <c r="M14" s="18" t="n">
        <f aca="false">Inputs!$B$33*Inputs!$B$40*G14</f>
        <v>16.0011727473132</v>
      </c>
      <c r="N14" s="18" t="n">
        <f aca="false">Inputs!$B$33*Inputs!$B$41*H14</f>
        <v>9.492316416</v>
      </c>
      <c r="O14" s="19" t="n">
        <f aca="false">M14+N14</f>
        <v>25.4934891633132</v>
      </c>
      <c r="P14" s="18" t="n">
        <f aca="false">Inputs!$B$33*Inputs!$B$41*K14</f>
        <v>4.1747747184</v>
      </c>
      <c r="Q14" s="19" t="n">
        <f aca="false">O14-D14</f>
        <v>9.8934891633132</v>
      </c>
      <c r="R14" s="19" t="n">
        <f aca="false">P14-E14</f>
        <v>-6.8472252816</v>
      </c>
      <c r="S14" s="18" t="n">
        <f aca="false">Inputs!$B$33*Inputs!$B$40*Inputs!$B$45*B14</f>
        <v>14.3168387739118</v>
      </c>
      <c r="T14" s="19" t="n">
        <f aca="false">S14+N14</f>
        <v>23.8091551899118</v>
      </c>
    </row>
    <row r="15" customFormat="false" ht="15" hidden="false" customHeight="false" outlineLevel="0" collapsed="false">
      <c r="A15" s="12" t="n">
        <v>11</v>
      </c>
      <c r="B15" s="13" t="n">
        <v>579</v>
      </c>
      <c r="C15" s="14" t="n">
        <v>11</v>
      </c>
      <c r="D15" s="15" t="n">
        <v>16.8</v>
      </c>
      <c r="E15" s="15" t="n">
        <v>11.517</v>
      </c>
      <c r="F15" s="16" t="n">
        <f aca="false">IF(B15&gt;0,1,0)</f>
        <v>1</v>
      </c>
      <c r="G15" s="17" t="n">
        <f aca="false">Inputs!$B$44*B15</f>
        <v>126.237814129728</v>
      </c>
      <c r="H15" s="17" t="n">
        <f aca="false">Inputs!$B$17*B15</f>
        <v>92.64</v>
      </c>
      <c r="I15" s="17" t="n">
        <f aca="false">Inputs!$B$18*B15</f>
        <v>497.94</v>
      </c>
      <c r="J15" s="17" t="n">
        <f aca="false">Inputs!$B$19*(Inputs!$B$21-C15)</f>
        <v>288</v>
      </c>
      <c r="K15" s="17" t="n">
        <f aca="false">MAX(0,Inputs!$B$20*(I15-J15))</f>
        <v>136.461</v>
      </c>
      <c r="L15" s="18" t="n">
        <f aca="false">Inputs!$B$21+K15*Inputs!$B$24/(Inputs!$B$22*Inputs!$B$23)</f>
        <v>35.6519875776398</v>
      </c>
      <c r="M15" s="18" t="n">
        <f aca="false">Inputs!$B$33*Inputs!$B$40*G15</f>
        <v>21.4957749900101</v>
      </c>
      <c r="N15" s="18" t="n">
        <f aca="false">Inputs!$B$33*Inputs!$B$41*H15</f>
        <v>12.751858944</v>
      </c>
      <c r="O15" s="19" t="n">
        <f aca="false">M15+N15</f>
        <v>34.2476339340101</v>
      </c>
      <c r="P15" s="18" t="n">
        <f aca="false">Inputs!$B$33*Inputs!$B$41*K15</f>
        <v>18.7838020656</v>
      </c>
      <c r="Q15" s="19" t="n">
        <f aca="false">O15-D15</f>
        <v>17.4476339340101</v>
      </c>
      <c r="R15" s="19" t="n">
        <f aca="false">P15-E15</f>
        <v>7.2668020656</v>
      </c>
      <c r="S15" s="18" t="n">
        <f aca="false">Inputs!$B$33*Inputs!$B$40*Inputs!$B$45*B15</f>
        <v>19.2330618331669</v>
      </c>
      <c r="T15" s="19" t="n">
        <f aca="false">S15+N15</f>
        <v>31.9849207771669</v>
      </c>
    </row>
    <row r="16" customFormat="false" ht="15" hidden="false" customHeight="false" outlineLevel="0" collapsed="false">
      <c r="A16" s="12" t="n">
        <v>12</v>
      </c>
      <c r="B16" s="13" t="n">
        <v>687</v>
      </c>
      <c r="C16" s="14" t="n">
        <v>12</v>
      </c>
      <c r="D16" s="15" t="n">
        <v>13.2</v>
      </c>
      <c r="E16" s="15" t="n">
        <v>12.771</v>
      </c>
      <c r="F16" s="16" t="n">
        <f aca="false">IF(B16&gt;0,1,0)</f>
        <v>1</v>
      </c>
      <c r="G16" s="17" t="n">
        <f aca="false">Inputs!$B$44*B16</f>
        <v>149.784763915584</v>
      </c>
      <c r="H16" s="17" t="n">
        <f aca="false">Inputs!$B$17*B16</f>
        <v>109.92</v>
      </c>
      <c r="I16" s="17" t="n">
        <f aca="false">Inputs!$B$18*B16</f>
        <v>590.82</v>
      </c>
      <c r="J16" s="17" t="n">
        <f aca="false">Inputs!$B$19*(Inputs!$B$21-C16)</f>
        <v>276</v>
      </c>
      <c r="K16" s="17" t="n">
        <f aca="false">MAX(0,Inputs!$B$20*(I16-J16))</f>
        <v>204.633</v>
      </c>
      <c r="L16" s="18" t="n">
        <f aca="false">Inputs!$B$21+K16*Inputs!$B$24/(Inputs!$B$22*Inputs!$B$23)</f>
        <v>35.977701863354</v>
      </c>
      <c r="M16" s="18" t="n">
        <f aca="false">Inputs!$B$33*Inputs!$B$40*G16</f>
        <v>25.5053495995456</v>
      </c>
      <c r="N16" s="18" t="n">
        <f aca="false">Inputs!$B$33*Inputs!$B$41*H16</f>
        <v>15.130444032</v>
      </c>
      <c r="O16" s="19" t="n">
        <f aca="false">M16+N16</f>
        <v>40.6357936315456</v>
      </c>
      <c r="P16" s="18" t="n">
        <f aca="false">Inputs!$B$33*Inputs!$B$41*K16</f>
        <v>28.1676505968</v>
      </c>
      <c r="Q16" s="19" t="n">
        <f aca="false">O16-D16</f>
        <v>27.4357936315456</v>
      </c>
      <c r="R16" s="19" t="n">
        <f aca="false">P16-E16</f>
        <v>15.3966505968</v>
      </c>
      <c r="S16" s="18" t="n">
        <f aca="false">Inputs!$B$33*Inputs!$B$40*Inputs!$B$45*B16</f>
        <v>22.8205759574882</v>
      </c>
      <c r="T16" s="19" t="n">
        <f aca="false">S16+N16</f>
        <v>37.9510199894882</v>
      </c>
    </row>
    <row r="17" customFormat="false" ht="15" hidden="false" customHeight="false" outlineLevel="0" collapsed="false">
      <c r="A17" s="12" t="n">
        <v>13</v>
      </c>
      <c r="B17" s="13" t="n">
        <v>746</v>
      </c>
      <c r="C17" s="14" t="n">
        <v>13</v>
      </c>
      <c r="D17" s="15" t="n">
        <v>14.3</v>
      </c>
      <c r="E17" s="15" t="n">
        <v>14.322</v>
      </c>
      <c r="F17" s="16" t="n">
        <f aca="false">IF(B17&gt;0,1,0)</f>
        <v>1</v>
      </c>
      <c r="G17" s="17" t="n">
        <f aca="false">Inputs!$B$44*B17</f>
        <v>162.648375372672</v>
      </c>
      <c r="H17" s="17" t="n">
        <f aca="false">Inputs!$B$17*B17</f>
        <v>119.36</v>
      </c>
      <c r="I17" s="17" t="n">
        <f aca="false">Inputs!$B$18*B17</f>
        <v>641.56</v>
      </c>
      <c r="J17" s="17" t="n">
        <f aca="false">Inputs!$B$19*(Inputs!$B$21-C17)</f>
        <v>264</v>
      </c>
      <c r="K17" s="17" t="n">
        <f aca="false">MAX(0,Inputs!$B$20*(I17-J17))</f>
        <v>245.414</v>
      </c>
      <c r="L17" s="18" t="n">
        <f aca="false">Inputs!$B$21+K17*Inputs!$B$24/(Inputs!$B$22*Inputs!$B$23)</f>
        <v>36.1725465838509</v>
      </c>
      <c r="M17" s="18" t="n">
        <f aca="false">Inputs!$B$33*Inputs!$B$40*G17</f>
        <v>27.6957653584586</v>
      </c>
      <c r="N17" s="18" t="n">
        <f aca="false">Inputs!$B$33*Inputs!$B$41*H17</f>
        <v>16.429856256</v>
      </c>
      <c r="O17" s="19" t="n">
        <f aca="false">M17+N17</f>
        <v>44.1256216144586</v>
      </c>
      <c r="P17" s="18" t="n">
        <f aca="false">Inputs!$B$33*Inputs!$B$41*K17</f>
        <v>33.7811389344</v>
      </c>
      <c r="Q17" s="19" t="n">
        <f aca="false">O17-D17</f>
        <v>29.8256216144586</v>
      </c>
      <c r="R17" s="19" t="n">
        <f aca="false">P17-E17</f>
        <v>19.4591389344</v>
      </c>
      <c r="S17" s="18" t="n">
        <f aca="false">Inputs!$B$33*Inputs!$B$40*Inputs!$B$45*B17</f>
        <v>24.7804216365156</v>
      </c>
      <c r="T17" s="19" t="n">
        <f aca="false">S17+N17</f>
        <v>41.2102778925156</v>
      </c>
    </row>
    <row r="18" customFormat="false" ht="15" hidden="false" customHeight="false" outlineLevel="0" collapsed="false">
      <c r="A18" s="12" t="n">
        <v>14</v>
      </c>
      <c r="B18" s="13" t="n">
        <v>751</v>
      </c>
      <c r="C18" s="14" t="n">
        <v>14</v>
      </c>
      <c r="D18" s="15" t="n">
        <v>13.1</v>
      </c>
      <c r="E18" s="15" t="n">
        <v>16.038</v>
      </c>
      <c r="F18" s="16" t="n">
        <f aca="false">IF(B18&gt;0,1,0)</f>
        <v>1</v>
      </c>
      <c r="G18" s="17" t="n">
        <f aca="false">Inputs!$B$44*B18</f>
        <v>163.738511936832</v>
      </c>
      <c r="H18" s="17" t="n">
        <f aca="false">Inputs!$B$17*B18</f>
        <v>120.16</v>
      </c>
      <c r="I18" s="17" t="n">
        <f aca="false">Inputs!$B$18*B18</f>
        <v>645.86</v>
      </c>
      <c r="J18" s="17" t="n">
        <f aca="false">Inputs!$B$19*(Inputs!$B$21-C18)</f>
        <v>252</v>
      </c>
      <c r="K18" s="17" t="n">
        <f aca="false">MAX(0,Inputs!$B$20*(I18-J18))</f>
        <v>256.009</v>
      </c>
      <c r="L18" s="18" t="n">
        <f aca="false">Inputs!$B$21+K18*Inputs!$B$24/(Inputs!$B$22*Inputs!$B$23)</f>
        <v>36.2231677018634</v>
      </c>
      <c r="M18" s="18" t="n">
        <f aca="false">Inputs!$B$33*Inputs!$B$40*G18</f>
        <v>27.8813938126037</v>
      </c>
      <c r="N18" s="18" t="n">
        <f aca="false">Inputs!$B$33*Inputs!$B$41*H18</f>
        <v>16.539975936</v>
      </c>
      <c r="O18" s="19" t="n">
        <f aca="false">M18+N18</f>
        <v>44.4213697486037</v>
      </c>
      <c r="P18" s="18" t="n">
        <f aca="false">Inputs!$B$33*Inputs!$B$41*K18</f>
        <v>35.2395364464</v>
      </c>
      <c r="Q18" s="19" t="n">
        <f aca="false">O18-D18</f>
        <v>31.3213697486037</v>
      </c>
      <c r="R18" s="19" t="n">
        <f aca="false">P18-E18</f>
        <v>19.2015364464</v>
      </c>
      <c r="S18" s="18" t="n">
        <f aca="false">Inputs!$B$33*Inputs!$B$40*Inputs!$B$45*B18</f>
        <v>24.9465102533823</v>
      </c>
      <c r="T18" s="19" t="n">
        <f aca="false">S18+N18</f>
        <v>41.4864861893823</v>
      </c>
    </row>
    <row r="19" customFormat="false" ht="15" hidden="false" customHeight="false" outlineLevel="0" collapsed="false">
      <c r="A19" s="12" t="n">
        <v>15</v>
      </c>
      <c r="B19" s="13" t="n">
        <v>688</v>
      </c>
      <c r="C19" s="14" t="n">
        <v>15</v>
      </c>
      <c r="D19" s="15" t="n">
        <v>16.9</v>
      </c>
      <c r="E19" s="15" t="n">
        <v>17.622</v>
      </c>
      <c r="F19" s="16" t="n">
        <f aca="false">IF(B19&gt;0,1,0)</f>
        <v>1</v>
      </c>
      <c r="G19" s="17" t="n">
        <f aca="false">Inputs!$B$44*B19</f>
        <v>150.002791228416</v>
      </c>
      <c r="H19" s="17" t="n">
        <f aca="false">Inputs!$B$17*B19</f>
        <v>110.08</v>
      </c>
      <c r="I19" s="17" t="n">
        <f aca="false">Inputs!$B$18*B19</f>
        <v>591.68</v>
      </c>
      <c r="J19" s="17" t="n">
        <f aca="false">Inputs!$B$19*(Inputs!$B$21-C19)</f>
        <v>240</v>
      </c>
      <c r="K19" s="17" t="n">
        <f aca="false">MAX(0,Inputs!$B$20*(I19-J19))</f>
        <v>228.592</v>
      </c>
      <c r="L19" s="18" t="n">
        <f aca="false">Inputs!$B$21+K19*Inputs!$B$24/(Inputs!$B$22*Inputs!$B$23)</f>
        <v>36.0921739130435</v>
      </c>
      <c r="M19" s="18" t="n">
        <f aca="false">Inputs!$B$33*Inputs!$B$40*G19</f>
        <v>25.5424752903747</v>
      </c>
      <c r="N19" s="18" t="n">
        <f aca="false">Inputs!$B$33*Inputs!$B$41*H19</f>
        <v>15.152467968</v>
      </c>
      <c r="O19" s="19" t="n">
        <f aca="false">M19+N19</f>
        <v>40.6949432583747</v>
      </c>
      <c r="P19" s="18" t="n">
        <f aca="false">Inputs!$B$33*Inputs!$B$41*K19</f>
        <v>31.4655973632</v>
      </c>
      <c r="Q19" s="19" t="n">
        <f aca="false">O19-D19</f>
        <v>23.7949432583747</v>
      </c>
      <c r="R19" s="19" t="n">
        <f aca="false">P19-E19</f>
        <v>13.8435973632</v>
      </c>
      <c r="S19" s="18" t="n">
        <f aca="false">Inputs!$B$33*Inputs!$B$40*Inputs!$B$45*B19</f>
        <v>22.8537936808616</v>
      </c>
      <c r="T19" s="19" t="n">
        <f aca="false">S19+N19</f>
        <v>38.0062616488616</v>
      </c>
    </row>
    <row r="20" customFormat="false" ht="15" hidden="false" customHeight="false" outlineLevel="0" collapsed="false">
      <c r="A20" s="12" t="n">
        <v>16</v>
      </c>
      <c r="B20" s="13" t="n">
        <v>543</v>
      </c>
      <c r="C20" s="14" t="n">
        <v>14</v>
      </c>
      <c r="D20" s="15" t="n">
        <v>23.4</v>
      </c>
      <c r="E20" s="15" t="n">
        <v>18.018</v>
      </c>
      <c r="F20" s="16" t="n">
        <f aca="false">IF(B20&gt;0,1,0)</f>
        <v>1</v>
      </c>
      <c r="G20" s="17" t="n">
        <f aca="false">Inputs!$B$44*B20</f>
        <v>118.388830867776</v>
      </c>
      <c r="H20" s="17" t="n">
        <f aca="false">Inputs!$B$17*B20</f>
        <v>86.88</v>
      </c>
      <c r="I20" s="17" t="n">
        <f aca="false">Inputs!$B$18*B20</f>
        <v>466.98</v>
      </c>
      <c r="J20" s="17" t="n">
        <f aca="false">Inputs!$B$19*(Inputs!$B$21-C20)</f>
        <v>252</v>
      </c>
      <c r="K20" s="17" t="n">
        <f aca="false">MAX(0,Inputs!$B$20*(I20-J20))</f>
        <v>139.737</v>
      </c>
      <c r="L20" s="18" t="n">
        <f aca="false">Inputs!$B$21+K20*Inputs!$B$24/(Inputs!$B$22*Inputs!$B$23)</f>
        <v>35.6676397515528</v>
      </c>
      <c r="M20" s="18" t="n">
        <f aca="false">Inputs!$B$33*Inputs!$B$40*G20</f>
        <v>20.1592501201649</v>
      </c>
      <c r="N20" s="18" t="n">
        <f aca="false">Inputs!$B$33*Inputs!$B$41*H20</f>
        <v>11.958997248</v>
      </c>
      <c r="O20" s="19" t="n">
        <f aca="false">M20+N20</f>
        <v>32.1182473681649</v>
      </c>
      <c r="P20" s="18" t="n">
        <f aca="false">Inputs!$B$33*Inputs!$B$41*K20</f>
        <v>19.2347421552</v>
      </c>
      <c r="Q20" s="19" t="n">
        <f aca="false">O20-D20</f>
        <v>8.71824736816489</v>
      </c>
      <c r="R20" s="19" t="n">
        <f aca="false">P20-E20</f>
        <v>1.2167421552</v>
      </c>
      <c r="S20" s="18" t="n">
        <f aca="false">Inputs!$B$33*Inputs!$B$40*Inputs!$B$45*B20</f>
        <v>18.0372237917265</v>
      </c>
      <c r="T20" s="19" t="n">
        <f aca="false">S20+N20</f>
        <v>29.9962210397265</v>
      </c>
    </row>
    <row r="21" customFormat="false" ht="15" hidden="false" customHeight="false" outlineLevel="0" collapsed="false">
      <c r="A21" s="12" t="n">
        <v>17</v>
      </c>
      <c r="B21" s="13" t="n">
        <v>475</v>
      </c>
      <c r="C21" s="14" t="n">
        <v>13</v>
      </c>
      <c r="D21" s="15" t="n">
        <v>32.3</v>
      </c>
      <c r="E21" s="15" t="n">
        <v>17.127</v>
      </c>
      <c r="F21" s="16" t="n">
        <f aca="false">IF(B21&gt;0,1,0)</f>
        <v>1</v>
      </c>
      <c r="G21" s="17" t="n">
        <f aca="false">Inputs!$B$44*B21</f>
        <v>103.5629735952</v>
      </c>
      <c r="H21" s="17" t="n">
        <f aca="false">Inputs!$B$17*B21</f>
        <v>76</v>
      </c>
      <c r="I21" s="17" t="n">
        <f aca="false">Inputs!$B$18*B21</f>
        <v>408.5</v>
      </c>
      <c r="J21" s="17" t="n">
        <f aca="false">Inputs!$B$19*(Inputs!$B$21-C21)</f>
        <v>264</v>
      </c>
      <c r="K21" s="17" t="n">
        <f aca="false">MAX(0,Inputs!$B$20*(I21-J21))</f>
        <v>93.925</v>
      </c>
      <c r="L21" s="18" t="n">
        <f aca="false">Inputs!$B$21+K21*Inputs!$B$24/(Inputs!$B$22*Inputs!$B$23)</f>
        <v>35.4487577639752</v>
      </c>
      <c r="M21" s="18" t="n">
        <f aca="false">Inputs!$B$33*Inputs!$B$40*G21</f>
        <v>17.6347031437907</v>
      </c>
      <c r="N21" s="18" t="n">
        <f aca="false">Inputs!$B$33*Inputs!$B$41*H21</f>
        <v>10.4613696</v>
      </c>
      <c r="O21" s="19" t="n">
        <f aca="false">M21+N21</f>
        <v>28.0960727437907</v>
      </c>
      <c r="P21" s="18" t="n">
        <f aca="false">Inputs!$B$33*Inputs!$B$41*K21</f>
        <v>12.92873868</v>
      </c>
      <c r="Q21" s="19" t="n">
        <f aca="false">O21-D21</f>
        <v>-4.20392725620935</v>
      </c>
      <c r="R21" s="19" t="n">
        <f aca="false">P21-E21</f>
        <v>-4.19826132</v>
      </c>
      <c r="S21" s="18" t="n">
        <f aca="false">Inputs!$B$33*Inputs!$B$40*Inputs!$B$45*B21</f>
        <v>15.778418602339</v>
      </c>
      <c r="T21" s="19" t="n">
        <f aca="false">S21+N21</f>
        <v>26.239788202339</v>
      </c>
    </row>
    <row r="22" customFormat="false" ht="15" hidden="false" customHeight="false" outlineLevel="0" collapsed="false">
      <c r="A22" s="12" t="n">
        <v>18</v>
      </c>
      <c r="B22" s="13" t="n">
        <v>303</v>
      </c>
      <c r="C22" s="14" t="n">
        <v>13</v>
      </c>
      <c r="D22" s="15" t="n">
        <v>41.6</v>
      </c>
      <c r="E22" s="15" t="n">
        <v>16.071</v>
      </c>
      <c r="F22" s="16" t="n">
        <f aca="false">IF(B22&gt;0,1,0)</f>
        <v>1</v>
      </c>
      <c r="G22" s="17" t="n">
        <f aca="false">Inputs!$B$44*B22</f>
        <v>66.062275788096</v>
      </c>
      <c r="H22" s="17" t="n">
        <f aca="false">Inputs!$B$17*B22</f>
        <v>48.48</v>
      </c>
      <c r="I22" s="17" t="n">
        <f aca="false">Inputs!$B$18*B22</f>
        <v>260.58</v>
      </c>
      <c r="J22" s="17" t="n">
        <f aca="false">Inputs!$B$19*(Inputs!$B$21-C22)</f>
        <v>264</v>
      </c>
      <c r="K22" s="17" t="n">
        <f aca="false">MAX(0,Inputs!$B$20*(I22-J22))</f>
        <v>0</v>
      </c>
      <c r="L22" s="18" t="n">
        <f aca="false">Inputs!$B$21+K22*Inputs!$B$24/(Inputs!$B$22*Inputs!$B$23)</f>
        <v>35</v>
      </c>
      <c r="M22" s="18" t="n">
        <f aca="false">Inputs!$B$33*Inputs!$B$40*G22</f>
        <v>11.249084321197</v>
      </c>
      <c r="N22" s="18" t="n">
        <f aca="false">Inputs!$B$33*Inputs!$B$41*H22</f>
        <v>6.673252608</v>
      </c>
      <c r="O22" s="19" t="n">
        <f aca="false">M22+N22</f>
        <v>17.922336929197</v>
      </c>
      <c r="P22" s="18" t="n">
        <f aca="false">Inputs!$B$33*Inputs!$B$41*K22</f>
        <v>0</v>
      </c>
      <c r="Q22" s="19" t="n">
        <f aca="false">O22-D22</f>
        <v>-23.677663070803</v>
      </c>
      <c r="R22" s="19" t="n">
        <f aca="false">P22-E22</f>
        <v>-16.071</v>
      </c>
      <c r="S22" s="18" t="n">
        <f aca="false">Inputs!$B$33*Inputs!$B$40*Inputs!$B$45*B22</f>
        <v>10.0649701821236</v>
      </c>
      <c r="T22" s="19" t="n">
        <f aca="false">S22+N22</f>
        <v>16.7382227901236</v>
      </c>
    </row>
    <row r="23" customFormat="false" ht="15" hidden="false" customHeight="false" outlineLevel="0" collapsed="false">
      <c r="A23" s="12" t="n">
        <v>19</v>
      </c>
      <c r="B23" s="13" t="n">
        <v>109</v>
      </c>
      <c r="C23" s="14" t="n">
        <v>10</v>
      </c>
      <c r="D23" s="15" t="n">
        <v>56.3</v>
      </c>
      <c r="E23" s="15" t="n">
        <v>13.761</v>
      </c>
      <c r="F23" s="16" t="n">
        <f aca="false">IF(B23&gt;0,1,0)</f>
        <v>1</v>
      </c>
      <c r="G23" s="17" t="n">
        <f aca="false">Inputs!$B$44*B23</f>
        <v>23.764977098688</v>
      </c>
      <c r="H23" s="17" t="n">
        <f aca="false">Inputs!$B$17*B23</f>
        <v>17.44</v>
      </c>
      <c r="I23" s="17" t="n">
        <f aca="false">Inputs!$B$18*B23</f>
        <v>93.74</v>
      </c>
      <c r="J23" s="17" t="n">
        <f aca="false">Inputs!$B$19*(Inputs!$B$21-C23)</f>
        <v>300</v>
      </c>
      <c r="K23" s="17" t="n">
        <f aca="false">MAX(0,Inputs!$B$20*(I23-J23))</f>
        <v>0</v>
      </c>
      <c r="L23" s="18" t="n">
        <f aca="false">Inputs!$B$21+K23*Inputs!$B$24/(Inputs!$B$22*Inputs!$B$23)</f>
        <v>35</v>
      </c>
      <c r="M23" s="18" t="n">
        <f aca="false">Inputs!$B$33*Inputs!$B$40*G23</f>
        <v>4.04670030036459</v>
      </c>
      <c r="N23" s="18" t="n">
        <f aca="false">Inputs!$B$33*Inputs!$B$41*H23</f>
        <v>2.400609024</v>
      </c>
      <c r="O23" s="19" t="n">
        <f aca="false">M23+N23</f>
        <v>6.44730932436459</v>
      </c>
      <c r="P23" s="18" t="n">
        <f aca="false">Inputs!$B$33*Inputs!$B$41*K23</f>
        <v>0</v>
      </c>
      <c r="Q23" s="19" t="n">
        <f aca="false">O23-D23</f>
        <v>-49.8526906756354</v>
      </c>
      <c r="R23" s="19" t="n">
        <f aca="false">P23-E23</f>
        <v>-13.761</v>
      </c>
      <c r="S23" s="18" t="n">
        <f aca="false">Inputs!$B$33*Inputs!$B$40*Inputs!$B$45*B23</f>
        <v>3.62073184769464</v>
      </c>
      <c r="T23" s="19" t="n">
        <f aca="false">S23+N23</f>
        <v>6.02134087169464</v>
      </c>
    </row>
    <row r="24" customFormat="false" ht="15" hidden="false" customHeight="false" outlineLevel="0" collapsed="false">
      <c r="A24" s="12" t="n">
        <v>20</v>
      </c>
      <c r="B24" s="13" t="n">
        <v>96</v>
      </c>
      <c r="C24" s="14" t="n">
        <v>8</v>
      </c>
      <c r="D24" s="15" t="n">
        <v>42.4</v>
      </c>
      <c r="E24" s="15" t="n">
        <v>11.319</v>
      </c>
      <c r="F24" s="16" t="n">
        <f aca="false">IF(B24&gt;0,1,0)</f>
        <v>1</v>
      </c>
      <c r="G24" s="17" t="n">
        <f aca="false">Inputs!$B$44*B24</f>
        <v>20.930622031872</v>
      </c>
      <c r="H24" s="17" t="n">
        <f aca="false">Inputs!$B$17*B24</f>
        <v>15.36</v>
      </c>
      <c r="I24" s="17" t="n">
        <f aca="false">Inputs!$B$18*B24</f>
        <v>82.56</v>
      </c>
      <c r="J24" s="17" t="n">
        <f aca="false">Inputs!$B$19*(Inputs!$B$21-C24)</f>
        <v>324</v>
      </c>
      <c r="K24" s="17" t="n">
        <f aca="false">MAX(0,Inputs!$B$20*(I24-J24))</f>
        <v>0</v>
      </c>
      <c r="L24" s="18" t="n">
        <f aca="false">Inputs!$B$21+K24*Inputs!$B$24/(Inputs!$B$22*Inputs!$B$23)</f>
        <v>35</v>
      </c>
      <c r="M24" s="18" t="n">
        <f aca="false">Inputs!$B$33*Inputs!$B$40*G24</f>
        <v>3.56406631958716</v>
      </c>
      <c r="N24" s="18" t="n">
        <f aca="false">Inputs!$B$33*Inputs!$B$41*H24</f>
        <v>2.114297856</v>
      </c>
      <c r="O24" s="19" t="n">
        <f aca="false">M24+N24</f>
        <v>5.67836417558716</v>
      </c>
      <c r="P24" s="18" t="n">
        <f aca="false">Inputs!$B$33*Inputs!$B$41*K24</f>
        <v>0</v>
      </c>
      <c r="Q24" s="19" t="n">
        <f aca="false">O24-D24</f>
        <v>-36.7216358244129</v>
      </c>
      <c r="R24" s="19" t="n">
        <f aca="false">P24-E24</f>
        <v>-11.319</v>
      </c>
      <c r="S24" s="18" t="n">
        <f aca="false">Inputs!$B$33*Inputs!$B$40*Inputs!$B$45*B24</f>
        <v>3.18890144384115</v>
      </c>
      <c r="T24" s="19" t="n">
        <f aca="false">S24+N24</f>
        <v>5.30319929984115</v>
      </c>
    </row>
    <row r="25" customFormat="false" ht="15" hidden="false" customHeight="false" outlineLevel="0" collapsed="false">
      <c r="A25" s="12" t="n">
        <v>21</v>
      </c>
      <c r="B25" s="13" t="n">
        <v>0</v>
      </c>
      <c r="C25" s="14" t="n">
        <v>7</v>
      </c>
      <c r="D25" s="15" t="n">
        <v>33.8</v>
      </c>
      <c r="E25" s="15" t="n">
        <v>10.494</v>
      </c>
      <c r="F25" s="16" t="n">
        <f aca="false">IF(B25&gt;0,1,0)</f>
        <v>0</v>
      </c>
      <c r="G25" s="17" t="n">
        <f aca="false">Inputs!$B$44*B25</f>
        <v>0</v>
      </c>
      <c r="H25" s="17" t="n">
        <f aca="false">Inputs!$B$17*B25</f>
        <v>0</v>
      </c>
      <c r="I25" s="17" t="n">
        <f aca="false">Inputs!$B$18*B25</f>
        <v>0</v>
      </c>
      <c r="J25" s="17" t="n">
        <f aca="false">Inputs!$B$19*(Inputs!$B$21-C25)</f>
        <v>336</v>
      </c>
      <c r="K25" s="17" t="n">
        <f aca="false">MAX(0,Inputs!$B$20*(I25-J25))</f>
        <v>0</v>
      </c>
      <c r="L25" s="18" t="n">
        <f aca="false">Inputs!$B$21+K25*Inputs!$B$24/(Inputs!$B$22*Inputs!$B$23)</f>
        <v>35</v>
      </c>
      <c r="M25" s="18" t="n">
        <f aca="false">Inputs!$B$33*Inputs!$B$40*G25</f>
        <v>0</v>
      </c>
      <c r="N25" s="18" t="n">
        <f aca="false">Inputs!$B$33*Inputs!$B$41*H25</f>
        <v>0</v>
      </c>
      <c r="O25" s="19" t="n">
        <f aca="false">M25+N25</f>
        <v>0</v>
      </c>
      <c r="P25" s="18" t="n">
        <f aca="false">Inputs!$B$33*Inputs!$B$41*K25</f>
        <v>0</v>
      </c>
      <c r="Q25" s="19" t="n">
        <f aca="false">O25-D25</f>
        <v>-33.8</v>
      </c>
      <c r="R25" s="19" t="n">
        <f aca="false">P25-E25</f>
        <v>-10.494</v>
      </c>
      <c r="S25" s="18" t="n">
        <f aca="false">Inputs!$B$33*Inputs!$B$40*Inputs!$B$45*B25</f>
        <v>0</v>
      </c>
      <c r="T25" s="19" t="n">
        <f aca="false">S25+N25</f>
        <v>0</v>
      </c>
    </row>
    <row r="26" customFormat="false" ht="15" hidden="false" customHeight="false" outlineLevel="0" collapsed="false">
      <c r="A26" s="12" t="n">
        <v>22</v>
      </c>
      <c r="B26" s="13" t="n">
        <v>0</v>
      </c>
      <c r="C26" s="14" t="n">
        <v>6</v>
      </c>
      <c r="D26" s="15" t="n">
        <v>17.5</v>
      </c>
      <c r="E26" s="15" t="n">
        <v>9.834</v>
      </c>
      <c r="F26" s="16" t="n">
        <f aca="false">IF(B26&gt;0,1,0)</f>
        <v>0</v>
      </c>
      <c r="G26" s="17" t="n">
        <f aca="false">Inputs!$B$44*B26</f>
        <v>0</v>
      </c>
      <c r="H26" s="17" t="n">
        <f aca="false">Inputs!$B$17*B26</f>
        <v>0</v>
      </c>
      <c r="I26" s="17" t="n">
        <f aca="false">Inputs!$B$18*B26</f>
        <v>0</v>
      </c>
      <c r="J26" s="17" t="n">
        <f aca="false">Inputs!$B$19*(Inputs!$B$21-C26)</f>
        <v>348</v>
      </c>
      <c r="K26" s="17" t="n">
        <f aca="false">MAX(0,Inputs!$B$20*(I26-J26))</f>
        <v>0</v>
      </c>
      <c r="L26" s="18" t="n">
        <f aca="false">Inputs!$B$21+K26*Inputs!$B$24/(Inputs!$B$22*Inputs!$B$23)</f>
        <v>35</v>
      </c>
      <c r="M26" s="18" t="n">
        <f aca="false">Inputs!$B$33*Inputs!$B$40*G26</f>
        <v>0</v>
      </c>
      <c r="N26" s="18" t="n">
        <f aca="false">Inputs!$B$33*Inputs!$B$41*H26</f>
        <v>0</v>
      </c>
      <c r="O26" s="19" t="n">
        <f aca="false">M26+N26</f>
        <v>0</v>
      </c>
      <c r="P26" s="18" t="n">
        <f aca="false">Inputs!$B$33*Inputs!$B$41*K26</f>
        <v>0</v>
      </c>
      <c r="Q26" s="19" t="n">
        <f aca="false">O26-D26</f>
        <v>-17.5</v>
      </c>
      <c r="R26" s="19" t="n">
        <f aca="false">P26-E26</f>
        <v>-9.834</v>
      </c>
      <c r="S26" s="18" t="n">
        <f aca="false">Inputs!$B$33*Inputs!$B$40*Inputs!$B$45*B26</f>
        <v>0</v>
      </c>
      <c r="T26" s="19" t="n">
        <f aca="false">S26+N26</f>
        <v>0</v>
      </c>
    </row>
    <row r="27" customFormat="false" ht="15" hidden="false" customHeight="false" outlineLevel="0" collapsed="false">
      <c r="A27" s="12" t="n">
        <v>23</v>
      </c>
      <c r="B27" s="13" t="n">
        <v>0</v>
      </c>
      <c r="C27" s="14" t="n">
        <v>6</v>
      </c>
      <c r="D27" s="15" t="n">
        <v>3.6</v>
      </c>
      <c r="E27" s="15" t="n">
        <v>9.867</v>
      </c>
      <c r="F27" s="16" t="n">
        <f aca="false">IF(B27&gt;0,1,0)</f>
        <v>0</v>
      </c>
      <c r="G27" s="17" t="n">
        <f aca="false">Inputs!$B$44*B27</f>
        <v>0</v>
      </c>
      <c r="H27" s="17" t="n">
        <f aca="false">Inputs!$B$17*B27</f>
        <v>0</v>
      </c>
      <c r="I27" s="17" t="n">
        <f aca="false">Inputs!$B$18*B27</f>
        <v>0</v>
      </c>
      <c r="J27" s="17" t="n">
        <f aca="false">Inputs!$B$19*(Inputs!$B$21-C27)</f>
        <v>348</v>
      </c>
      <c r="K27" s="17" t="n">
        <f aca="false">MAX(0,Inputs!$B$20*(I27-J27))</f>
        <v>0</v>
      </c>
      <c r="L27" s="18" t="n">
        <f aca="false">Inputs!$B$21+K27*Inputs!$B$24/(Inputs!$B$22*Inputs!$B$23)</f>
        <v>35</v>
      </c>
      <c r="M27" s="18" t="n">
        <f aca="false">Inputs!$B$33*Inputs!$B$40*G27</f>
        <v>0</v>
      </c>
      <c r="N27" s="18" t="n">
        <f aca="false">Inputs!$B$33*Inputs!$B$41*H27</f>
        <v>0</v>
      </c>
      <c r="O27" s="19" t="n">
        <f aca="false">M27+N27</f>
        <v>0</v>
      </c>
      <c r="P27" s="18" t="n">
        <f aca="false">Inputs!$B$33*Inputs!$B$41*K27</f>
        <v>0</v>
      </c>
      <c r="Q27" s="19" t="n">
        <f aca="false">O27-D27</f>
        <v>-3.6</v>
      </c>
      <c r="R27" s="19" t="n">
        <f aca="false">P27-E27</f>
        <v>-9.867</v>
      </c>
      <c r="S27" s="18" t="n">
        <f aca="false">Inputs!$B$33*Inputs!$B$40*Inputs!$B$45*B27</f>
        <v>0</v>
      </c>
      <c r="T27" s="19" t="n">
        <f aca="false">S27+N27</f>
        <v>0</v>
      </c>
    </row>
    <row r="28" customFormat="false" ht="15" hidden="false" customHeight="false" outlineLevel="0" collapsed="false">
      <c r="A28" s="20" t="s">
        <v>106</v>
      </c>
      <c r="B28" s="20"/>
      <c r="C28" s="20"/>
      <c r="D28" s="21" t="n">
        <f aca="false">SUM(D4:D27)</f>
        <v>438.3</v>
      </c>
      <c r="E28" s="21" t="n">
        <f aca="false">SUM(E4:E27)</f>
        <v>237.468</v>
      </c>
      <c r="F28" s="22" t="n">
        <f aca="false">SUM(F4:F27)</f>
        <v>14</v>
      </c>
      <c r="G28" s="20"/>
      <c r="H28" s="20"/>
      <c r="I28" s="20"/>
      <c r="J28" s="20"/>
      <c r="K28" s="20"/>
      <c r="L28" s="20"/>
      <c r="M28" s="21" t="n">
        <f aca="false">SUM(M4:M27)</f>
        <v>226.466714057101</v>
      </c>
      <c r="N28" s="21" t="n">
        <f aca="false">SUM(N4:N27)</f>
        <v>134.3460096</v>
      </c>
      <c r="O28" s="21" t="n">
        <f aca="false">SUM(O4:O27)</f>
        <v>360.812723657101</v>
      </c>
      <c r="P28" s="21" t="n">
        <f aca="false">SUM(P4:P27)</f>
        <v>183.77598096</v>
      </c>
      <c r="Q28" s="21" t="n">
        <f aca="false">SUM(Q4:Q27)</f>
        <v>-77.487276342899</v>
      </c>
      <c r="R28" s="21" t="n">
        <f aca="false">SUM(R4:R27)</f>
        <v>-53.69201904</v>
      </c>
      <c r="S28" s="21" t="n">
        <f aca="false">SUM(S4:S27)</f>
        <v>202.628112577406</v>
      </c>
      <c r="T28" s="21" t="n">
        <f aca="false">SUM(T4:T27)</f>
        <v>336.974122177406</v>
      </c>
    </row>
    <row r="29" customFormat="false" ht="15" hidden="false" customHeight="false" outlineLevel="0" collapsed="false">
      <c r="A29" s="23" t="s">
        <v>107</v>
      </c>
      <c r="B29" s="23"/>
      <c r="C29" s="23"/>
      <c r="D29" s="24" t="n">
        <f aca="false">SUMPRODUCT(D4:D27,$F$4:$F$27)</f>
        <v>360.8</v>
      </c>
      <c r="E29" s="24" t="n">
        <f aca="false">SUMPRODUCT(E4:E27,$F$4:$F$27)</f>
        <v>183.579</v>
      </c>
      <c r="F29" s="23"/>
      <c r="G29" s="23"/>
      <c r="H29" s="23"/>
      <c r="I29" s="23"/>
      <c r="J29" s="23"/>
      <c r="K29" s="23"/>
      <c r="L29" s="23"/>
      <c r="M29" s="24" t="n">
        <f aca="false">SUMPRODUCT(M4:M27,$F$4:$F$27)</f>
        <v>226.466714057101</v>
      </c>
      <c r="N29" s="24" t="n">
        <f aca="false">SUMPRODUCT(N4:N27,$F$4:$F$27)</f>
        <v>134.3460096</v>
      </c>
      <c r="O29" s="24" t="n">
        <f aca="false">SUMPRODUCT(O4:O27,$F$4:$F$27)</f>
        <v>360.812723657101</v>
      </c>
      <c r="P29" s="24" t="n">
        <f aca="false">SUMPRODUCT(P4:P27,$F$4:$F$27)</f>
        <v>183.77598096</v>
      </c>
      <c r="Q29" s="24" t="n">
        <f aca="false">SUMPRODUCT(Q4:Q27,$F$4:$F$27)</f>
        <v>0.0127236571009757</v>
      </c>
      <c r="R29" s="24" t="n">
        <f aca="false">SUMPRODUCT(R4:R27,$F$4:$F$27)</f>
        <v>0.196980959999963</v>
      </c>
      <c r="S29" s="24" t="n">
        <f aca="false">SUMPRODUCT(S4:S27,$F$4:$F$27)</f>
        <v>202.628112577406</v>
      </c>
      <c r="T29" s="24" t="n">
        <f aca="false">SUMPRODUCT(T4:T27,$F$4:$F$27)</f>
        <v>336.974122177406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0" min="2" style="0" width="15"/>
  </cols>
  <sheetData>
    <row r="1" customFormat="false" ht="16.1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85</v>
      </c>
    </row>
    <row r="3" customFormat="false" ht="61.5" hidden="false" customHeight="true" outlineLevel="0" collapsed="false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105</v>
      </c>
    </row>
    <row r="4" customFormat="false" ht="15" hidden="false" customHeight="false" outlineLevel="0" collapsed="false">
      <c r="A4" s="12" t="n">
        <v>0</v>
      </c>
      <c r="B4" s="13" t="n">
        <v>0</v>
      </c>
      <c r="C4" s="14" t="n">
        <v>16.6666666666667</v>
      </c>
      <c r="D4" s="15" t="n">
        <v>7.3</v>
      </c>
      <c r="E4" s="15" t="n">
        <v>2.0493</v>
      </c>
      <c r="F4" s="16" t="n">
        <f aca="false">IF(B4&gt;0,1,0)</f>
        <v>0</v>
      </c>
      <c r="G4" s="17" t="n">
        <f aca="false">Inputs!$B$44*B4</f>
        <v>0</v>
      </c>
      <c r="H4" s="17" t="n">
        <f aca="false">Inputs!$B$17*B4</f>
        <v>0</v>
      </c>
      <c r="I4" s="17" t="n">
        <f aca="false">Inputs!$B$18*B4</f>
        <v>0</v>
      </c>
      <c r="J4" s="17" t="n">
        <f aca="false">Inputs!$B$19*(Inputs!$B$21-C4)</f>
        <v>220</v>
      </c>
      <c r="K4" s="17" t="n">
        <f aca="false">MAX(0,Inputs!$B$20*(I4-J4))</f>
        <v>0</v>
      </c>
      <c r="L4" s="18" t="n">
        <f aca="false">Inputs!$B$21+K4*Inputs!$B$24/(Inputs!$B$22*Inputs!$B$23)</f>
        <v>35</v>
      </c>
      <c r="M4" s="18" t="n">
        <f aca="false">Inputs!$B$33*Inputs!$B$40*G4</f>
        <v>0</v>
      </c>
      <c r="N4" s="18" t="n">
        <f aca="false">Inputs!$B$33*Inputs!$B$41*H4</f>
        <v>0</v>
      </c>
      <c r="O4" s="19" t="n">
        <f aca="false">M4+N4</f>
        <v>0</v>
      </c>
      <c r="P4" s="18" t="n">
        <f aca="false">Inputs!$B$33*Inputs!$B$41*K4</f>
        <v>0</v>
      </c>
      <c r="Q4" s="19" t="n">
        <f aca="false">O4-D4</f>
        <v>-7.3</v>
      </c>
      <c r="R4" s="19" t="n">
        <f aca="false">P4-E4</f>
        <v>-2.0493</v>
      </c>
      <c r="S4" s="18" t="n">
        <f aca="false">Inputs!$B$33*Inputs!$B$40*Inputs!$B$45*B4</f>
        <v>0</v>
      </c>
      <c r="T4" s="19" t="n">
        <f aca="false">S4+N4</f>
        <v>0</v>
      </c>
    </row>
    <row r="5" customFormat="false" ht="15" hidden="false" customHeight="false" outlineLevel="0" collapsed="false">
      <c r="A5" s="12" t="n">
        <v>1</v>
      </c>
      <c r="B5" s="13" t="n">
        <v>0</v>
      </c>
      <c r="C5" s="14" t="n">
        <v>16.1111111111111</v>
      </c>
      <c r="D5" s="15" t="n">
        <v>5.3</v>
      </c>
      <c r="E5" s="15" t="n">
        <v>1.6863</v>
      </c>
      <c r="F5" s="16" t="n">
        <f aca="false">IF(B5&gt;0,1,0)</f>
        <v>0</v>
      </c>
      <c r="G5" s="17" t="n">
        <f aca="false">Inputs!$B$44*B5</f>
        <v>0</v>
      </c>
      <c r="H5" s="17" t="n">
        <f aca="false">Inputs!$B$17*B5</f>
        <v>0</v>
      </c>
      <c r="I5" s="17" t="n">
        <f aca="false">Inputs!$B$18*B5</f>
        <v>0</v>
      </c>
      <c r="J5" s="17" t="n">
        <f aca="false">Inputs!$B$19*(Inputs!$B$21-C5)</f>
        <v>226.666666666667</v>
      </c>
      <c r="K5" s="17" t="n">
        <f aca="false">MAX(0,Inputs!$B$20*(I5-J5))</f>
        <v>0</v>
      </c>
      <c r="L5" s="18" t="n">
        <f aca="false">Inputs!$B$21+K5*Inputs!$B$24/(Inputs!$B$22*Inputs!$B$23)</f>
        <v>35</v>
      </c>
      <c r="M5" s="18" t="n">
        <f aca="false">Inputs!$B$33*Inputs!$B$40*G5</f>
        <v>0</v>
      </c>
      <c r="N5" s="18" t="n">
        <f aca="false">Inputs!$B$33*Inputs!$B$41*H5</f>
        <v>0</v>
      </c>
      <c r="O5" s="19" t="n">
        <f aca="false">M5+N5</f>
        <v>0</v>
      </c>
      <c r="P5" s="18" t="n">
        <f aca="false">Inputs!$B$33*Inputs!$B$41*K5</f>
        <v>0</v>
      </c>
      <c r="Q5" s="19" t="n">
        <f aca="false">O5-D5</f>
        <v>-5.3</v>
      </c>
      <c r="R5" s="19" t="n">
        <f aca="false">P5-E5</f>
        <v>-1.6863</v>
      </c>
      <c r="S5" s="18" t="n">
        <f aca="false">Inputs!$B$33*Inputs!$B$40*Inputs!$B$45*B5</f>
        <v>0</v>
      </c>
      <c r="T5" s="19" t="n">
        <f aca="false">S5+N5</f>
        <v>0</v>
      </c>
    </row>
    <row r="6" customFormat="false" ht="15" hidden="false" customHeight="false" outlineLevel="0" collapsed="false">
      <c r="A6" s="12" t="n">
        <v>2</v>
      </c>
      <c r="B6" s="13" t="n">
        <v>0</v>
      </c>
      <c r="C6" s="14" t="n">
        <v>15.5555555555556</v>
      </c>
      <c r="D6" s="15" t="n">
        <v>4.8</v>
      </c>
      <c r="E6" s="15" t="n">
        <v>1.4883</v>
      </c>
      <c r="F6" s="16" t="n">
        <f aca="false">IF(B6&gt;0,1,0)</f>
        <v>0</v>
      </c>
      <c r="G6" s="17" t="n">
        <f aca="false">Inputs!$B$44*B6</f>
        <v>0</v>
      </c>
      <c r="H6" s="17" t="n">
        <f aca="false">Inputs!$B$17*B6</f>
        <v>0</v>
      </c>
      <c r="I6" s="17" t="n">
        <f aca="false">Inputs!$B$18*B6</f>
        <v>0</v>
      </c>
      <c r="J6" s="17" t="n">
        <f aca="false">Inputs!$B$19*(Inputs!$B$21-C6)</f>
        <v>233.333333333333</v>
      </c>
      <c r="K6" s="17" t="n">
        <f aca="false">MAX(0,Inputs!$B$20*(I6-J6))</f>
        <v>0</v>
      </c>
      <c r="L6" s="18" t="n">
        <f aca="false">Inputs!$B$21+K6*Inputs!$B$24/(Inputs!$B$22*Inputs!$B$23)</f>
        <v>35</v>
      </c>
      <c r="M6" s="18" t="n">
        <f aca="false">Inputs!$B$33*Inputs!$B$40*G6</f>
        <v>0</v>
      </c>
      <c r="N6" s="18" t="n">
        <f aca="false">Inputs!$B$33*Inputs!$B$41*H6</f>
        <v>0</v>
      </c>
      <c r="O6" s="19" t="n">
        <f aca="false">M6+N6</f>
        <v>0</v>
      </c>
      <c r="P6" s="18" t="n">
        <f aca="false">Inputs!$B$33*Inputs!$B$41*K6</f>
        <v>0</v>
      </c>
      <c r="Q6" s="19" t="n">
        <f aca="false">O6-D6</f>
        <v>-4.8</v>
      </c>
      <c r="R6" s="19" t="n">
        <f aca="false">P6-E6</f>
        <v>-1.4883</v>
      </c>
      <c r="S6" s="18" t="n">
        <f aca="false">Inputs!$B$33*Inputs!$B$40*Inputs!$B$45*B6</f>
        <v>0</v>
      </c>
      <c r="T6" s="19" t="n">
        <f aca="false">S6+N6</f>
        <v>0</v>
      </c>
    </row>
    <row r="7" customFormat="false" ht="15" hidden="false" customHeight="false" outlineLevel="0" collapsed="false">
      <c r="A7" s="12" t="n">
        <v>3</v>
      </c>
      <c r="B7" s="13" t="n">
        <v>0</v>
      </c>
      <c r="C7" s="14" t="n">
        <v>15</v>
      </c>
      <c r="D7" s="15" t="n">
        <v>4.3</v>
      </c>
      <c r="E7" s="15" t="n">
        <v>1.1253</v>
      </c>
      <c r="F7" s="16" t="n">
        <f aca="false">IF(B7&gt;0,1,0)</f>
        <v>0</v>
      </c>
      <c r="G7" s="17" t="n">
        <f aca="false">Inputs!$B$44*B7</f>
        <v>0</v>
      </c>
      <c r="H7" s="17" t="n">
        <f aca="false">Inputs!$B$17*B7</f>
        <v>0</v>
      </c>
      <c r="I7" s="17" t="n">
        <f aca="false">Inputs!$B$18*B7</f>
        <v>0</v>
      </c>
      <c r="J7" s="17" t="n">
        <f aca="false">Inputs!$B$19*(Inputs!$B$21-C7)</f>
        <v>240</v>
      </c>
      <c r="K7" s="17" t="n">
        <f aca="false">MAX(0,Inputs!$B$20*(I7-J7))</f>
        <v>0</v>
      </c>
      <c r="L7" s="18" t="n">
        <f aca="false">Inputs!$B$21+K7*Inputs!$B$24/(Inputs!$B$22*Inputs!$B$23)</f>
        <v>35</v>
      </c>
      <c r="M7" s="18" t="n">
        <f aca="false">Inputs!$B$33*Inputs!$B$40*G7</f>
        <v>0</v>
      </c>
      <c r="N7" s="18" t="n">
        <f aca="false">Inputs!$B$33*Inputs!$B$41*H7</f>
        <v>0</v>
      </c>
      <c r="O7" s="19" t="n">
        <f aca="false">M7+N7</f>
        <v>0</v>
      </c>
      <c r="P7" s="18" t="n">
        <f aca="false">Inputs!$B$33*Inputs!$B$41*K7</f>
        <v>0</v>
      </c>
      <c r="Q7" s="19" t="n">
        <f aca="false">O7-D7</f>
        <v>-4.3</v>
      </c>
      <c r="R7" s="19" t="n">
        <f aca="false">P7-E7</f>
        <v>-1.1253</v>
      </c>
      <c r="S7" s="18" t="n">
        <f aca="false">Inputs!$B$33*Inputs!$B$40*Inputs!$B$45*B7</f>
        <v>0</v>
      </c>
      <c r="T7" s="19" t="n">
        <f aca="false">S7+N7</f>
        <v>0</v>
      </c>
    </row>
    <row r="8" customFormat="false" ht="15" hidden="false" customHeight="false" outlineLevel="0" collapsed="false">
      <c r="A8" s="12" t="n">
        <v>4</v>
      </c>
      <c r="B8" s="13" t="n">
        <v>0</v>
      </c>
      <c r="C8" s="14" t="n">
        <v>13.8888888888889</v>
      </c>
      <c r="D8" s="15" t="n">
        <v>4</v>
      </c>
      <c r="E8" s="15" t="n">
        <v>2.0493</v>
      </c>
      <c r="F8" s="16" t="n">
        <f aca="false">IF(B8&gt;0,1,0)</f>
        <v>0</v>
      </c>
      <c r="G8" s="17" t="n">
        <f aca="false">Inputs!$B$44*B8</f>
        <v>0</v>
      </c>
      <c r="H8" s="17" t="n">
        <f aca="false">Inputs!$B$17*B8</f>
        <v>0</v>
      </c>
      <c r="I8" s="17" t="n">
        <f aca="false">Inputs!$B$18*B8</f>
        <v>0</v>
      </c>
      <c r="J8" s="17" t="n">
        <f aca="false">Inputs!$B$19*(Inputs!$B$21-C8)</f>
        <v>253.333333333333</v>
      </c>
      <c r="K8" s="17" t="n">
        <f aca="false">MAX(0,Inputs!$B$20*(I8-J8))</f>
        <v>0</v>
      </c>
      <c r="L8" s="18" t="n">
        <f aca="false">Inputs!$B$21+K8*Inputs!$B$24/(Inputs!$B$22*Inputs!$B$23)</f>
        <v>35</v>
      </c>
      <c r="M8" s="18" t="n">
        <f aca="false">Inputs!$B$33*Inputs!$B$40*G8</f>
        <v>0</v>
      </c>
      <c r="N8" s="18" t="n">
        <f aca="false">Inputs!$B$33*Inputs!$B$41*H8</f>
        <v>0</v>
      </c>
      <c r="O8" s="19" t="n">
        <f aca="false">M8+N8</f>
        <v>0</v>
      </c>
      <c r="P8" s="18" t="n">
        <f aca="false">Inputs!$B$33*Inputs!$B$41*K8</f>
        <v>0</v>
      </c>
      <c r="Q8" s="19" t="n">
        <f aca="false">O8-D8</f>
        <v>-4</v>
      </c>
      <c r="R8" s="19" t="n">
        <f aca="false">P8-E8</f>
        <v>-2.0493</v>
      </c>
      <c r="S8" s="18" t="n">
        <f aca="false">Inputs!$B$33*Inputs!$B$40*Inputs!$B$45*B8</f>
        <v>0</v>
      </c>
      <c r="T8" s="19" t="n">
        <f aca="false">S8+N8</f>
        <v>0</v>
      </c>
    </row>
    <row r="9" customFormat="false" ht="15" hidden="false" customHeight="false" outlineLevel="0" collapsed="false">
      <c r="A9" s="12" t="n">
        <v>5</v>
      </c>
      <c r="B9" s="13" t="n">
        <v>0</v>
      </c>
      <c r="C9" s="14" t="n">
        <v>13.3333333333333</v>
      </c>
      <c r="D9" s="15" t="n">
        <v>5.1</v>
      </c>
      <c r="E9" s="15" t="n">
        <v>4.0293</v>
      </c>
      <c r="F9" s="16" t="n">
        <f aca="false">IF(B9&gt;0,1,0)</f>
        <v>0</v>
      </c>
      <c r="G9" s="17" t="n">
        <f aca="false">Inputs!$B$44*B9</f>
        <v>0</v>
      </c>
      <c r="H9" s="17" t="n">
        <f aca="false">Inputs!$B$17*B9</f>
        <v>0</v>
      </c>
      <c r="I9" s="17" t="n">
        <f aca="false">Inputs!$B$18*B9</f>
        <v>0</v>
      </c>
      <c r="J9" s="17" t="n">
        <f aca="false">Inputs!$B$19*(Inputs!$B$21-C9)</f>
        <v>260</v>
      </c>
      <c r="K9" s="17" t="n">
        <f aca="false">MAX(0,Inputs!$B$20*(I9-J9))</f>
        <v>0</v>
      </c>
      <c r="L9" s="18" t="n">
        <f aca="false">Inputs!$B$21+K9*Inputs!$B$24/(Inputs!$B$22*Inputs!$B$23)</f>
        <v>35</v>
      </c>
      <c r="M9" s="18" t="n">
        <f aca="false">Inputs!$B$33*Inputs!$B$40*G9</f>
        <v>0</v>
      </c>
      <c r="N9" s="18" t="n">
        <f aca="false">Inputs!$B$33*Inputs!$B$41*H9</f>
        <v>0</v>
      </c>
      <c r="O9" s="19" t="n">
        <f aca="false">M9+N9</f>
        <v>0</v>
      </c>
      <c r="P9" s="18" t="n">
        <f aca="false">Inputs!$B$33*Inputs!$B$41*K9</f>
        <v>0</v>
      </c>
      <c r="Q9" s="19" t="n">
        <f aca="false">O9-D9</f>
        <v>-5.1</v>
      </c>
      <c r="R9" s="19" t="n">
        <f aca="false">P9-E9</f>
        <v>-4.0293</v>
      </c>
      <c r="S9" s="18" t="n">
        <f aca="false">Inputs!$B$33*Inputs!$B$40*Inputs!$B$45*B9</f>
        <v>0</v>
      </c>
      <c r="T9" s="19" t="n">
        <f aca="false">S9+N9</f>
        <v>0</v>
      </c>
    </row>
    <row r="10" customFormat="false" ht="15" hidden="false" customHeight="false" outlineLevel="0" collapsed="false">
      <c r="A10" s="12" t="n">
        <v>6</v>
      </c>
      <c r="B10" s="13" t="n">
        <v>100</v>
      </c>
      <c r="C10" s="14" t="n">
        <v>12.7777777777778</v>
      </c>
      <c r="D10" s="15" t="n">
        <v>10.1</v>
      </c>
      <c r="E10" s="15" t="n">
        <v>5.5143</v>
      </c>
      <c r="F10" s="16" t="n">
        <f aca="false">IF(B10&gt;0,1,0)</f>
        <v>1</v>
      </c>
      <c r="G10" s="17" t="n">
        <f aca="false">Inputs!$B$44*B10</f>
        <v>21.8027312832</v>
      </c>
      <c r="H10" s="17" t="n">
        <f aca="false">Inputs!$B$17*B10</f>
        <v>16</v>
      </c>
      <c r="I10" s="17" t="n">
        <f aca="false">Inputs!$B$18*B10</f>
        <v>86</v>
      </c>
      <c r="J10" s="17" t="n">
        <f aca="false">Inputs!$B$19*(Inputs!$B$21-C10)</f>
        <v>266.666666666667</v>
      </c>
      <c r="K10" s="17" t="n">
        <f aca="false">MAX(0,Inputs!$B$20*(I10-J10))</f>
        <v>0</v>
      </c>
      <c r="L10" s="18" t="n">
        <f aca="false">Inputs!$B$21+K10*Inputs!$B$24/(Inputs!$B$22*Inputs!$B$23)</f>
        <v>35</v>
      </c>
      <c r="M10" s="18" t="n">
        <f aca="false">Inputs!$B$33*Inputs!$B$40*G10</f>
        <v>3.7125690829033</v>
      </c>
      <c r="N10" s="18" t="n">
        <f aca="false">Inputs!$B$33*Inputs!$B$41*H10</f>
        <v>2.2023936</v>
      </c>
      <c r="O10" s="19" t="n">
        <f aca="false">M10+N10</f>
        <v>5.9149626829033</v>
      </c>
      <c r="P10" s="18" t="n">
        <f aca="false">Inputs!$B$33*Inputs!$B$41*K10</f>
        <v>0</v>
      </c>
      <c r="Q10" s="19" t="n">
        <f aca="false">O10-D10</f>
        <v>-4.18503731709671</v>
      </c>
      <c r="R10" s="19" t="n">
        <f aca="false">P10-E10</f>
        <v>-5.5143</v>
      </c>
      <c r="S10" s="18" t="n">
        <f aca="false">Inputs!$B$33*Inputs!$B$40*Inputs!$B$45*B10</f>
        <v>3.32177233733453</v>
      </c>
      <c r="T10" s="19" t="n">
        <f aca="false">S10+N10</f>
        <v>5.52416593733453</v>
      </c>
    </row>
    <row r="11" customFormat="false" ht="15" hidden="false" customHeight="false" outlineLevel="0" collapsed="false">
      <c r="A11" s="12" t="n">
        <v>7</v>
      </c>
      <c r="B11" s="13" t="n">
        <v>128</v>
      </c>
      <c r="C11" s="14" t="n">
        <v>13.8888888888889</v>
      </c>
      <c r="D11" s="15" t="n">
        <v>18.7</v>
      </c>
      <c r="E11" s="15" t="n">
        <v>6.3393</v>
      </c>
      <c r="F11" s="16" t="n">
        <f aca="false">IF(B11&gt;0,1,0)</f>
        <v>1</v>
      </c>
      <c r="G11" s="17" t="n">
        <f aca="false">Inputs!$B$44*B11</f>
        <v>27.907496042496</v>
      </c>
      <c r="H11" s="17" t="n">
        <f aca="false">Inputs!$B$17*B11</f>
        <v>20.48</v>
      </c>
      <c r="I11" s="17" t="n">
        <f aca="false">Inputs!$B$18*B11</f>
        <v>110.08</v>
      </c>
      <c r="J11" s="17" t="n">
        <f aca="false">Inputs!$B$19*(Inputs!$B$21-C11)</f>
        <v>253.333333333333</v>
      </c>
      <c r="K11" s="17" t="n">
        <f aca="false">MAX(0,Inputs!$B$20*(I11-J11))</f>
        <v>0</v>
      </c>
      <c r="L11" s="18" t="n">
        <f aca="false">Inputs!$B$21+K11*Inputs!$B$24/(Inputs!$B$22*Inputs!$B$23)</f>
        <v>35</v>
      </c>
      <c r="M11" s="18" t="n">
        <f aca="false">Inputs!$B$33*Inputs!$B$40*G11</f>
        <v>4.75208842611622</v>
      </c>
      <c r="N11" s="18" t="n">
        <f aca="false">Inputs!$B$33*Inputs!$B$41*H11</f>
        <v>2.819063808</v>
      </c>
      <c r="O11" s="19" t="n">
        <f aca="false">M11+N11</f>
        <v>7.57115223411622</v>
      </c>
      <c r="P11" s="18" t="n">
        <f aca="false">Inputs!$B$33*Inputs!$B$41*K11</f>
        <v>0</v>
      </c>
      <c r="Q11" s="19" t="n">
        <f aca="false">O11-D11</f>
        <v>-11.1288477658838</v>
      </c>
      <c r="R11" s="19" t="n">
        <f aca="false">P11-E11</f>
        <v>-6.3393</v>
      </c>
      <c r="S11" s="18" t="n">
        <f aca="false">Inputs!$B$33*Inputs!$B$40*Inputs!$B$45*B11</f>
        <v>4.2518685917882</v>
      </c>
      <c r="T11" s="19" t="n">
        <f aca="false">S11+N11</f>
        <v>7.0709323997882</v>
      </c>
    </row>
    <row r="12" customFormat="false" ht="15" hidden="false" customHeight="false" outlineLevel="0" collapsed="false">
      <c r="A12" s="12" t="n">
        <v>8</v>
      </c>
      <c r="B12" s="13" t="n">
        <v>395</v>
      </c>
      <c r="C12" s="14" t="n">
        <v>15.5555555555556</v>
      </c>
      <c r="D12" s="15" t="n">
        <v>37.1</v>
      </c>
      <c r="E12" s="15" t="n">
        <v>6.9003</v>
      </c>
      <c r="F12" s="16" t="n">
        <f aca="false">IF(B12&gt;0,1,0)</f>
        <v>1</v>
      </c>
      <c r="G12" s="17" t="n">
        <f aca="false">Inputs!$B$44*B12</f>
        <v>86.12078856864</v>
      </c>
      <c r="H12" s="17" t="n">
        <f aca="false">Inputs!$B$17*B12</f>
        <v>63.2</v>
      </c>
      <c r="I12" s="17" t="n">
        <f aca="false">Inputs!$B$18*B12</f>
        <v>339.7</v>
      </c>
      <c r="J12" s="17" t="n">
        <f aca="false">Inputs!$B$19*(Inputs!$B$21-C12)</f>
        <v>233.333333333333</v>
      </c>
      <c r="K12" s="17" t="n">
        <f aca="false">MAX(0,Inputs!$B$20*(I12-J12))</f>
        <v>69.1383333333334</v>
      </c>
      <c r="L12" s="18" t="n">
        <f aca="false">Inputs!$B$21+K12*Inputs!$B$24/(Inputs!$B$22*Inputs!$B$23)</f>
        <v>35.33033126294</v>
      </c>
      <c r="M12" s="18" t="n">
        <f aca="false">Inputs!$B$33*Inputs!$B$40*G12</f>
        <v>14.664647877468</v>
      </c>
      <c r="N12" s="18" t="n">
        <f aca="false">Inputs!$B$33*Inputs!$B$41*H12</f>
        <v>8.69945472</v>
      </c>
      <c r="O12" s="19" t="n">
        <f aca="false">M12+N12</f>
        <v>23.364102597468</v>
      </c>
      <c r="P12" s="18" t="n">
        <f aca="false">Inputs!$B$33*Inputs!$B$41*K12</f>
        <v>9.51686392800001</v>
      </c>
      <c r="Q12" s="19" t="n">
        <f aca="false">O12-D12</f>
        <v>-13.735897402532</v>
      </c>
      <c r="R12" s="19" t="n">
        <f aca="false">P12-E12</f>
        <v>2.61656392800001</v>
      </c>
      <c r="S12" s="18" t="n">
        <f aca="false">Inputs!$B$33*Inputs!$B$40*Inputs!$B$45*B12</f>
        <v>13.1210007324714</v>
      </c>
      <c r="T12" s="19" t="n">
        <f aca="false">S12+N12</f>
        <v>21.8204554524714</v>
      </c>
    </row>
    <row r="13" customFormat="false" ht="15" hidden="false" customHeight="false" outlineLevel="0" collapsed="false">
      <c r="A13" s="12" t="n">
        <v>9</v>
      </c>
      <c r="B13" s="13" t="n">
        <v>562</v>
      </c>
      <c r="C13" s="14" t="n">
        <v>18.3333333333333</v>
      </c>
      <c r="D13" s="15" t="n">
        <v>30.8</v>
      </c>
      <c r="E13" s="15" t="n">
        <v>8.2863</v>
      </c>
      <c r="F13" s="16" t="n">
        <f aca="false">IF(B13&gt;0,1,0)</f>
        <v>1</v>
      </c>
      <c r="G13" s="17" t="n">
        <f aca="false">Inputs!$B$44*B13</f>
        <v>122.531349811584</v>
      </c>
      <c r="H13" s="17" t="n">
        <f aca="false">Inputs!$B$17*B13</f>
        <v>89.92</v>
      </c>
      <c r="I13" s="17" t="n">
        <f aca="false">Inputs!$B$18*B13</f>
        <v>483.32</v>
      </c>
      <c r="J13" s="17" t="n">
        <f aca="false">Inputs!$B$19*(Inputs!$B$21-C13)</f>
        <v>200</v>
      </c>
      <c r="K13" s="17" t="n">
        <f aca="false">MAX(0,Inputs!$B$20*(I13-J13))</f>
        <v>184.158</v>
      </c>
      <c r="L13" s="18" t="n">
        <f aca="false">Inputs!$B$21+K13*Inputs!$B$24/(Inputs!$B$22*Inputs!$B$23)</f>
        <v>35.8798757763975</v>
      </c>
      <c r="M13" s="18" t="n">
        <f aca="false">Inputs!$B$33*Inputs!$B$40*G13</f>
        <v>20.8646382459165</v>
      </c>
      <c r="N13" s="18" t="n">
        <f aca="false">Inputs!$B$33*Inputs!$B$41*H13</f>
        <v>12.377452032</v>
      </c>
      <c r="O13" s="19" t="n">
        <f aca="false">M13+N13</f>
        <v>33.2420902779165</v>
      </c>
      <c r="P13" s="18" t="n">
        <f aca="false">Inputs!$B$33*Inputs!$B$41*K13</f>
        <v>25.3492750368</v>
      </c>
      <c r="Q13" s="19" t="n">
        <f aca="false">O13-D13</f>
        <v>2.44209027791652</v>
      </c>
      <c r="R13" s="19" t="n">
        <f aca="false">P13-E13</f>
        <v>17.0629750368</v>
      </c>
      <c r="S13" s="18" t="n">
        <f aca="false">Inputs!$B$33*Inputs!$B$40*Inputs!$B$45*B13</f>
        <v>18.6683605358201</v>
      </c>
      <c r="T13" s="19" t="n">
        <f aca="false">S13+N13</f>
        <v>31.0458125678201</v>
      </c>
    </row>
    <row r="14" customFormat="false" ht="15" hidden="false" customHeight="false" outlineLevel="0" collapsed="false">
      <c r="A14" s="12" t="n">
        <v>10</v>
      </c>
      <c r="B14" s="13" t="n">
        <v>729</v>
      </c>
      <c r="C14" s="14" t="n">
        <v>21.6666666666667</v>
      </c>
      <c r="D14" s="15" t="n">
        <v>19.5</v>
      </c>
      <c r="E14" s="15" t="n">
        <v>10.2003</v>
      </c>
      <c r="F14" s="16" t="n">
        <f aca="false">IF(B14&gt;0,1,0)</f>
        <v>1</v>
      </c>
      <c r="G14" s="17" t="n">
        <f aca="false">Inputs!$B$44*B14</f>
        <v>158.941911054528</v>
      </c>
      <c r="H14" s="17" t="n">
        <f aca="false">Inputs!$B$17*B14</f>
        <v>116.64</v>
      </c>
      <c r="I14" s="17" t="n">
        <f aca="false">Inputs!$B$18*B14</f>
        <v>626.94</v>
      </c>
      <c r="J14" s="17" t="n">
        <f aca="false">Inputs!$B$19*(Inputs!$B$21-C14)</f>
        <v>160</v>
      </c>
      <c r="K14" s="17" t="n">
        <f aca="false">MAX(0,Inputs!$B$20*(I14-J14))</f>
        <v>303.511</v>
      </c>
      <c r="L14" s="18" t="n">
        <f aca="false">Inputs!$B$21+K14*Inputs!$B$24/(Inputs!$B$22*Inputs!$B$23)</f>
        <v>36.4501242236025</v>
      </c>
      <c r="M14" s="18" t="n">
        <f aca="false">Inputs!$B$33*Inputs!$B$40*G14</f>
        <v>27.064628614365</v>
      </c>
      <c r="N14" s="18" t="n">
        <f aca="false">Inputs!$B$33*Inputs!$B$41*H14</f>
        <v>16.055449344</v>
      </c>
      <c r="O14" s="19" t="n">
        <f aca="false">M14+N14</f>
        <v>43.120077958365</v>
      </c>
      <c r="P14" s="18" t="n">
        <f aca="false">Inputs!$B$33*Inputs!$B$41*K14</f>
        <v>41.7781677456</v>
      </c>
      <c r="Q14" s="19" t="n">
        <f aca="false">O14-D14</f>
        <v>23.620077958365</v>
      </c>
      <c r="R14" s="19" t="n">
        <f aca="false">P14-E14</f>
        <v>31.5778677456</v>
      </c>
      <c r="S14" s="18" t="n">
        <f aca="false">Inputs!$B$33*Inputs!$B$40*Inputs!$B$45*B14</f>
        <v>24.2157203391687</v>
      </c>
      <c r="T14" s="19" t="n">
        <f aca="false">S14+N14</f>
        <v>40.2711696831687</v>
      </c>
    </row>
    <row r="15" customFormat="false" ht="15" hidden="false" customHeight="false" outlineLevel="0" collapsed="false">
      <c r="A15" s="12" t="n">
        <v>11</v>
      </c>
      <c r="B15" s="13" t="n">
        <v>912</v>
      </c>
      <c r="C15" s="14" t="n">
        <v>23.3333333333333</v>
      </c>
      <c r="D15" s="15" t="n">
        <v>20.7</v>
      </c>
      <c r="E15" s="15" t="n">
        <v>10.6953</v>
      </c>
      <c r="F15" s="16" t="n">
        <f aca="false">IF(B15&gt;0,1,0)</f>
        <v>1</v>
      </c>
      <c r="G15" s="17" t="n">
        <f aca="false">Inputs!$B$44*B15</f>
        <v>198.840909302784</v>
      </c>
      <c r="H15" s="17" t="n">
        <f aca="false">Inputs!$B$17*B15</f>
        <v>145.92</v>
      </c>
      <c r="I15" s="17" t="n">
        <f aca="false">Inputs!$B$18*B15</f>
        <v>784.32</v>
      </c>
      <c r="J15" s="17" t="n">
        <f aca="false">Inputs!$B$19*(Inputs!$B$21-C15)</f>
        <v>140</v>
      </c>
      <c r="K15" s="17" t="n">
        <f aca="false">MAX(0,Inputs!$B$20*(I15-J15))</f>
        <v>418.808</v>
      </c>
      <c r="L15" s="18" t="n">
        <f aca="false">Inputs!$B$21+K15*Inputs!$B$24/(Inputs!$B$22*Inputs!$B$23)</f>
        <v>37.0009937888199</v>
      </c>
      <c r="M15" s="18" t="n">
        <f aca="false">Inputs!$B$33*Inputs!$B$40*G15</f>
        <v>33.8586300360781</v>
      </c>
      <c r="N15" s="18" t="n">
        <f aca="false">Inputs!$B$33*Inputs!$B$41*H15</f>
        <v>20.085829632</v>
      </c>
      <c r="O15" s="19" t="n">
        <f aca="false">M15+N15</f>
        <v>53.9444596680781</v>
      </c>
      <c r="P15" s="18" t="n">
        <f aca="false">Inputs!$B$33*Inputs!$B$41*K15</f>
        <v>57.6487536768</v>
      </c>
      <c r="Q15" s="19" t="n">
        <f aca="false">O15-D15</f>
        <v>33.2444596680781</v>
      </c>
      <c r="R15" s="19" t="n">
        <f aca="false">P15-E15</f>
        <v>46.9534536768</v>
      </c>
      <c r="S15" s="18" t="n">
        <f aca="false">Inputs!$B$33*Inputs!$B$40*Inputs!$B$45*B15</f>
        <v>30.2945637164909</v>
      </c>
      <c r="T15" s="19" t="n">
        <f aca="false">S15+N15</f>
        <v>50.3803933484909</v>
      </c>
    </row>
    <row r="16" customFormat="false" ht="15" hidden="false" customHeight="false" outlineLevel="0" collapsed="false">
      <c r="A16" s="12" t="n">
        <v>12</v>
      </c>
      <c r="B16" s="13" t="n">
        <v>1024</v>
      </c>
      <c r="C16" s="14" t="n">
        <v>25</v>
      </c>
      <c r="D16" s="15" t="n">
        <v>17.1</v>
      </c>
      <c r="E16" s="15" t="n">
        <v>11.9493</v>
      </c>
      <c r="F16" s="16" t="n">
        <f aca="false">IF(B16&gt;0,1,0)</f>
        <v>1</v>
      </c>
      <c r="G16" s="17" t="n">
        <f aca="false">Inputs!$B$44*B16</f>
        <v>223.259968339968</v>
      </c>
      <c r="H16" s="17" t="n">
        <f aca="false">Inputs!$B$17*B16</f>
        <v>163.84</v>
      </c>
      <c r="I16" s="17" t="n">
        <f aca="false">Inputs!$B$18*B16</f>
        <v>880.64</v>
      </c>
      <c r="J16" s="17" t="n">
        <f aca="false">Inputs!$B$19*(Inputs!$B$21-C16)</f>
        <v>120</v>
      </c>
      <c r="K16" s="17" t="n">
        <f aca="false">MAX(0,Inputs!$B$20*(I16-J16))</f>
        <v>494.416</v>
      </c>
      <c r="L16" s="18" t="n">
        <f aca="false">Inputs!$B$21+K16*Inputs!$B$24/(Inputs!$B$22*Inputs!$B$23)</f>
        <v>37.3622360248447</v>
      </c>
      <c r="M16" s="18" t="n">
        <f aca="false">Inputs!$B$33*Inputs!$B$40*G16</f>
        <v>38.0167074089297</v>
      </c>
      <c r="N16" s="18" t="n">
        <f aca="false">Inputs!$B$33*Inputs!$B$41*H16</f>
        <v>22.552510464</v>
      </c>
      <c r="O16" s="19" t="n">
        <f aca="false">M16+N16</f>
        <v>60.5692178729297</v>
      </c>
      <c r="P16" s="18" t="n">
        <f aca="false">Inputs!$B$33*Inputs!$B$41*K16</f>
        <v>68.0561646336</v>
      </c>
      <c r="Q16" s="19" t="n">
        <f aca="false">O16-D16</f>
        <v>43.4692178729297</v>
      </c>
      <c r="R16" s="19" t="n">
        <f aca="false">P16-E16</f>
        <v>56.1068646336</v>
      </c>
      <c r="S16" s="18" t="n">
        <f aca="false">Inputs!$B$33*Inputs!$B$40*Inputs!$B$45*B16</f>
        <v>34.0149487343056</v>
      </c>
      <c r="T16" s="19" t="n">
        <f aca="false">S16+N16</f>
        <v>56.5674591983056</v>
      </c>
    </row>
    <row r="17" customFormat="false" ht="15" hidden="false" customHeight="false" outlineLevel="0" collapsed="false">
      <c r="A17" s="12" t="n">
        <v>13</v>
      </c>
      <c r="B17" s="13" t="n">
        <v>976</v>
      </c>
      <c r="C17" s="14" t="n">
        <v>26.1111111111111</v>
      </c>
      <c r="D17" s="15" t="n">
        <v>18.2</v>
      </c>
      <c r="E17" s="15" t="n">
        <v>9.042</v>
      </c>
      <c r="F17" s="16" t="n">
        <f aca="false">IF(B17&gt;0,1,0)</f>
        <v>1</v>
      </c>
      <c r="G17" s="17" t="n">
        <f aca="false">Inputs!$B$44*B17</f>
        <v>212.794657324032</v>
      </c>
      <c r="H17" s="17" t="n">
        <f aca="false">Inputs!$B$17*B17</f>
        <v>156.16</v>
      </c>
      <c r="I17" s="17" t="n">
        <f aca="false">Inputs!$B$18*B17</f>
        <v>839.36</v>
      </c>
      <c r="J17" s="17" t="n">
        <f aca="false">Inputs!$B$19*(Inputs!$B$21-C17)</f>
        <v>106.666666666667</v>
      </c>
      <c r="K17" s="17" t="n">
        <f aca="false">MAX(0,Inputs!$B$20*(I17-J17))</f>
        <v>476.250666666667</v>
      </c>
      <c r="L17" s="18" t="n">
        <f aca="false">Inputs!$B$21+K17*Inputs!$B$24/(Inputs!$B$22*Inputs!$B$23)</f>
        <v>37.2754451345756</v>
      </c>
      <c r="M17" s="18" t="n">
        <f aca="false">Inputs!$B$33*Inputs!$B$40*G17</f>
        <v>36.2346742491362</v>
      </c>
      <c r="N17" s="18" t="n">
        <f aca="false">Inputs!$B$33*Inputs!$B$41*H17</f>
        <v>21.495361536</v>
      </c>
      <c r="O17" s="19" t="n">
        <f aca="false">M17+N17</f>
        <v>57.7300357851362</v>
      </c>
      <c r="P17" s="18" t="n">
        <f aca="false">Inputs!$B$33*Inputs!$B$41*K17</f>
        <v>65.5557137664</v>
      </c>
      <c r="Q17" s="19" t="n">
        <f aca="false">O17-D17</f>
        <v>39.5300357851362</v>
      </c>
      <c r="R17" s="19" t="n">
        <f aca="false">P17-E17</f>
        <v>56.5137137664</v>
      </c>
      <c r="S17" s="18" t="n">
        <f aca="false">Inputs!$B$33*Inputs!$B$40*Inputs!$B$45*B17</f>
        <v>32.420498012385</v>
      </c>
      <c r="T17" s="19" t="n">
        <f aca="false">S17+N17</f>
        <v>53.915859548385</v>
      </c>
    </row>
    <row r="18" customFormat="false" ht="15" hidden="false" customHeight="false" outlineLevel="0" collapsed="false">
      <c r="A18" s="12" t="n">
        <v>14</v>
      </c>
      <c r="B18" s="13" t="n">
        <v>904</v>
      </c>
      <c r="C18" s="14" t="n">
        <v>27.2222222222222</v>
      </c>
      <c r="D18" s="15" t="n">
        <v>18.9</v>
      </c>
      <c r="E18" s="15" t="n">
        <v>10.758</v>
      </c>
      <c r="F18" s="16" t="n">
        <f aca="false">IF(B18&gt;0,1,0)</f>
        <v>1</v>
      </c>
      <c r="G18" s="17" t="n">
        <f aca="false">Inputs!$B$44*B18</f>
        <v>197.096690800128</v>
      </c>
      <c r="H18" s="17" t="n">
        <f aca="false">Inputs!$B$17*B18</f>
        <v>144.64</v>
      </c>
      <c r="I18" s="17" t="n">
        <f aca="false">Inputs!$B$18*B18</f>
        <v>777.44</v>
      </c>
      <c r="J18" s="17" t="n">
        <f aca="false">Inputs!$B$19*(Inputs!$B$21-C18)</f>
        <v>93.3333333333333</v>
      </c>
      <c r="K18" s="17" t="n">
        <f aca="false">MAX(0,Inputs!$B$20*(I18-J18))</f>
        <v>444.669333333333</v>
      </c>
      <c r="L18" s="18" t="n">
        <f aca="false">Inputs!$B$21+K18*Inputs!$B$24/(Inputs!$B$22*Inputs!$B$23)</f>
        <v>37.1245548654244</v>
      </c>
      <c r="M18" s="18" t="n">
        <f aca="false">Inputs!$B$33*Inputs!$B$40*G18</f>
        <v>33.5616245094458</v>
      </c>
      <c r="N18" s="18" t="n">
        <f aca="false">Inputs!$B$33*Inputs!$B$41*H18</f>
        <v>19.909638144</v>
      </c>
      <c r="O18" s="19" t="n">
        <f aca="false">M18+N18</f>
        <v>53.4712626534458</v>
      </c>
      <c r="P18" s="18" t="n">
        <f aca="false">Inputs!$B$33*Inputs!$B$41*K18</f>
        <v>61.2085558656</v>
      </c>
      <c r="Q18" s="19" t="n">
        <f aca="false">O18-D18</f>
        <v>34.5712626534458</v>
      </c>
      <c r="R18" s="19" t="n">
        <f aca="false">P18-E18</f>
        <v>50.4505558656</v>
      </c>
      <c r="S18" s="18" t="n">
        <f aca="false">Inputs!$B$33*Inputs!$B$40*Inputs!$B$45*B18</f>
        <v>30.0288219295041</v>
      </c>
      <c r="T18" s="19" t="n">
        <f aca="false">S18+N18</f>
        <v>49.9384600735041</v>
      </c>
    </row>
    <row r="19" customFormat="false" ht="15" hidden="false" customHeight="false" outlineLevel="0" collapsed="false">
      <c r="A19" s="12" t="n">
        <v>15</v>
      </c>
      <c r="B19" s="13" t="n">
        <v>811</v>
      </c>
      <c r="C19" s="14" t="n">
        <v>27.7777777777778</v>
      </c>
      <c r="D19" s="15" t="n">
        <v>22.7</v>
      </c>
      <c r="E19" s="15" t="n">
        <v>12.342</v>
      </c>
      <c r="F19" s="16" t="n">
        <f aca="false">IF(B19&gt;0,1,0)</f>
        <v>1</v>
      </c>
      <c r="G19" s="17" t="n">
        <f aca="false">Inputs!$B$44*B19</f>
        <v>176.820150706752</v>
      </c>
      <c r="H19" s="17" t="n">
        <f aca="false">Inputs!$B$17*B19</f>
        <v>129.76</v>
      </c>
      <c r="I19" s="17" t="n">
        <f aca="false">Inputs!$B$18*B19</f>
        <v>697.46</v>
      </c>
      <c r="J19" s="17" t="n">
        <f aca="false">Inputs!$B$19*(Inputs!$B$21-C19)</f>
        <v>86.6666666666667</v>
      </c>
      <c r="K19" s="17" t="n">
        <f aca="false">MAX(0,Inputs!$B$20*(I19-J19))</f>
        <v>397.015666666667</v>
      </c>
      <c r="L19" s="18" t="n">
        <f aca="false">Inputs!$B$21+K19*Inputs!$B$24/(Inputs!$B$22*Inputs!$B$23)</f>
        <v>36.8968737060041</v>
      </c>
      <c r="M19" s="18" t="n">
        <f aca="false">Inputs!$B$33*Inputs!$B$40*G19</f>
        <v>30.1089352623457</v>
      </c>
      <c r="N19" s="18" t="n">
        <f aca="false">Inputs!$B$33*Inputs!$B$41*H19</f>
        <v>17.861412096</v>
      </c>
      <c r="O19" s="19" t="n">
        <f aca="false">M19+N19</f>
        <v>47.9703473583457</v>
      </c>
      <c r="P19" s="18" t="n">
        <f aca="false">Inputs!$B$33*Inputs!$B$41*K19</f>
        <v>54.6490477104</v>
      </c>
      <c r="Q19" s="19" t="n">
        <f aca="false">O19-D19</f>
        <v>25.2703473583457</v>
      </c>
      <c r="R19" s="19" t="n">
        <f aca="false">P19-E19</f>
        <v>42.3070477104</v>
      </c>
      <c r="S19" s="18" t="n">
        <f aca="false">Inputs!$B$33*Inputs!$B$40*Inputs!$B$45*B19</f>
        <v>26.939573655783</v>
      </c>
      <c r="T19" s="19" t="n">
        <f aca="false">S19+N19</f>
        <v>44.800985751783</v>
      </c>
    </row>
    <row r="20" customFormat="false" ht="15" hidden="false" customHeight="false" outlineLevel="0" collapsed="false">
      <c r="A20" s="12" t="n">
        <v>16</v>
      </c>
      <c r="B20" s="13" t="n">
        <v>699</v>
      </c>
      <c r="C20" s="14" t="n">
        <v>28.3333333333333</v>
      </c>
      <c r="D20" s="15" t="n">
        <v>29.2</v>
      </c>
      <c r="E20" s="15" t="n">
        <v>12.738</v>
      </c>
      <c r="F20" s="16" t="n">
        <f aca="false">IF(B20&gt;0,1,0)</f>
        <v>1</v>
      </c>
      <c r="G20" s="17" t="n">
        <f aca="false">Inputs!$B$44*B20</f>
        <v>152.401091669568</v>
      </c>
      <c r="H20" s="17" t="n">
        <f aca="false">Inputs!$B$17*B20</f>
        <v>111.84</v>
      </c>
      <c r="I20" s="17" t="n">
        <f aca="false">Inputs!$B$18*B20</f>
        <v>601.14</v>
      </c>
      <c r="J20" s="17" t="n">
        <f aca="false">Inputs!$B$19*(Inputs!$B$21-C20)</f>
        <v>79.9999999999999</v>
      </c>
      <c r="K20" s="17" t="n">
        <f aca="false">MAX(0,Inputs!$B$20*(I20-J20))</f>
        <v>338.741</v>
      </c>
      <c r="L20" s="18" t="n">
        <f aca="false">Inputs!$B$21+K20*Inputs!$B$24/(Inputs!$B$22*Inputs!$B$23)</f>
        <v>36.6184472049689</v>
      </c>
      <c r="M20" s="18" t="n">
        <f aca="false">Inputs!$B$33*Inputs!$B$40*G20</f>
        <v>25.950857889494</v>
      </c>
      <c r="N20" s="18" t="n">
        <f aca="false">Inputs!$B$33*Inputs!$B$41*H20</f>
        <v>15.394731264</v>
      </c>
      <c r="O20" s="19" t="n">
        <f aca="false">M20+N20</f>
        <v>41.345589153494</v>
      </c>
      <c r="P20" s="18" t="n">
        <f aca="false">Inputs!$B$33*Inputs!$B$41*K20</f>
        <v>46.6275631536</v>
      </c>
      <c r="Q20" s="19" t="n">
        <f aca="false">O20-D20</f>
        <v>12.145589153494</v>
      </c>
      <c r="R20" s="19" t="n">
        <f aca="false">P20-E20</f>
        <v>33.8895631536</v>
      </c>
      <c r="S20" s="18" t="n">
        <f aca="false">Inputs!$B$33*Inputs!$B$40*Inputs!$B$45*B20</f>
        <v>23.2191886379684</v>
      </c>
      <c r="T20" s="19" t="n">
        <f aca="false">S20+N20</f>
        <v>38.6139199019684</v>
      </c>
    </row>
    <row r="21" customFormat="false" ht="15" hidden="false" customHeight="false" outlineLevel="0" collapsed="false">
      <c r="A21" s="12" t="n">
        <v>17</v>
      </c>
      <c r="B21" s="13" t="n">
        <v>550</v>
      </c>
      <c r="C21" s="14" t="n">
        <v>26.6666666666667</v>
      </c>
      <c r="D21" s="15" t="n">
        <v>38.1</v>
      </c>
      <c r="E21" s="15" t="n">
        <v>11.847</v>
      </c>
      <c r="F21" s="16" t="n">
        <f aca="false">IF(B21&gt;0,1,0)</f>
        <v>1</v>
      </c>
      <c r="G21" s="17" t="n">
        <f aca="false">Inputs!$B$44*B21</f>
        <v>119.9150220576</v>
      </c>
      <c r="H21" s="17" t="n">
        <f aca="false">Inputs!$B$17*B21</f>
        <v>88</v>
      </c>
      <c r="I21" s="17" t="n">
        <f aca="false">Inputs!$B$18*B21</f>
        <v>473</v>
      </c>
      <c r="J21" s="17" t="n">
        <f aca="false">Inputs!$B$19*(Inputs!$B$21-C21)</f>
        <v>99.9999999999999</v>
      </c>
      <c r="K21" s="17" t="n">
        <f aca="false">MAX(0,Inputs!$B$20*(I21-J21))</f>
        <v>242.45</v>
      </c>
      <c r="L21" s="18" t="n">
        <f aca="false">Inputs!$B$21+K21*Inputs!$B$24/(Inputs!$B$22*Inputs!$B$23)</f>
        <v>36.1583850931677</v>
      </c>
      <c r="M21" s="18" t="n">
        <f aca="false">Inputs!$B$33*Inputs!$B$40*G21</f>
        <v>20.4191299559681</v>
      </c>
      <c r="N21" s="18" t="n">
        <f aca="false">Inputs!$B$33*Inputs!$B$41*H21</f>
        <v>12.1131648</v>
      </c>
      <c r="O21" s="19" t="n">
        <f aca="false">M21+N21</f>
        <v>32.5322947559681</v>
      </c>
      <c r="P21" s="18" t="n">
        <f aca="false">Inputs!$B$33*Inputs!$B$41*K21</f>
        <v>33.37314552</v>
      </c>
      <c r="Q21" s="19" t="n">
        <f aca="false">O21-D21</f>
        <v>-5.56770524403188</v>
      </c>
      <c r="R21" s="19" t="n">
        <f aca="false">P21-E21</f>
        <v>21.52614552</v>
      </c>
      <c r="S21" s="18" t="n">
        <f aca="false">Inputs!$B$33*Inputs!$B$40*Inputs!$B$45*B21</f>
        <v>18.2697478553399</v>
      </c>
      <c r="T21" s="19" t="n">
        <f aca="false">S21+N21</f>
        <v>30.3829126553399</v>
      </c>
    </row>
    <row r="22" customFormat="false" ht="15" hidden="false" customHeight="false" outlineLevel="0" collapsed="false">
      <c r="A22" s="12" t="n">
        <v>18</v>
      </c>
      <c r="B22" s="13" t="n">
        <v>500</v>
      </c>
      <c r="C22" s="14" t="n">
        <v>26.1111111111111</v>
      </c>
      <c r="D22" s="15" t="n">
        <v>47.4</v>
      </c>
      <c r="E22" s="15" t="n">
        <v>8.151</v>
      </c>
      <c r="F22" s="16" t="n">
        <f aca="false">IF(B22&gt;0,1,0)</f>
        <v>1</v>
      </c>
      <c r="G22" s="17" t="n">
        <f aca="false">Inputs!$B$44*B22</f>
        <v>109.013656416</v>
      </c>
      <c r="H22" s="17" t="n">
        <f aca="false">Inputs!$B$17*B22</f>
        <v>80</v>
      </c>
      <c r="I22" s="17" t="n">
        <f aca="false">Inputs!$B$18*B22</f>
        <v>430</v>
      </c>
      <c r="J22" s="17" t="n">
        <f aca="false">Inputs!$B$19*(Inputs!$B$21-C22)</f>
        <v>106.666666666667</v>
      </c>
      <c r="K22" s="17" t="n">
        <f aca="false">MAX(0,Inputs!$B$20*(I22-J22))</f>
        <v>210.166666666667</v>
      </c>
      <c r="L22" s="18" t="n">
        <f aca="false">Inputs!$B$21+K22*Inputs!$B$24/(Inputs!$B$22*Inputs!$B$23)</f>
        <v>36.0041407867495</v>
      </c>
      <c r="M22" s="18" t="n">
        <f aca="false">Inputs!$B$33*Inputs!$B$40*G22</f>
        <v>18.5628454145165</v>
      </c>
      <c r="N22" s="18" t="n">
        <f aca="false">Inputs!$B$33*Inputs!$B$41*H22</f>
        <v>11.011968</v>
      </c>
      <c r="O22" s="19" t="n">
        <f aca="false">M22+N22</f>
        <v>29.5748134145165</v>
      </c>
      <c r="P22" s="18" t="n">
        <f aca="false">Inputs!$B$33*Inputs!$B$41*K22</f>
        <v>28.9293576</v>
      </c>
      <c r="Q22" s="19" t="n">
        <f aca="false">O22-D22</f>
        <v>-17.8251865854835</v>
      </c>
      <c r="R22" s="19" t="n">
        <f aca="false">P22-E22</f>
        <v>20.7783576</v>
      </c>
      <c r="S22" s="18" t="n">
        <f aca="false">Inputs!$B$33*Inputs!$B$40*Inputs!$B$45*B22</f>
        <v>16.6088616866726</v>
      </c>
      <c r="T22" s="19" t="n">
        <f aca="false">S22+N22</f>
        <v>27.6208296866726</v>
      </c>
    </row>
    <row r="23" customFormat="false" ht="15" hidden="false" customHeight="false" outlineLevel="0" collapsed="false">
      <c r="A23" s="12" t="n">
        <v>19</v>
      </c>
      <c r="B23" s="13" t="n">
        <v>364</v>
      </c>
      <c r="C23" s="14" t="n">
        <v>25</v>
      </c>
      <c r="D23" s="15" t="n">
        <v>62.1</v>
      </c>
      <c r="E23" s="15" t="n">
        <v>5.841</v>
      </c>
      <c r="F23" s="16" t="n">
        <f aca="false">IF(B23&gt;0,1,0)</f>
        <v>1</v>
      </c>
      <c r="G23" s="17" t="n">
        <f aca="false">Inputs!$B$44*B23</f>
        <v>79.361941870848</v>
      </c>
      <c r="H23" s="17" t="n">
        <f aca="false">Inputs!$B$17*B23</f>
        <v>58.24</v>
      </c>
      <c r="I23" s="17" t="n">
        <f aca="false">Inputs!$B$18*B23</f>
        <v>313.04</v>
      </c>
      <c r="J23" s="17" t="n">
        <f aca="false">Inputs!$B$19*(Inputs!$B$21-C23)</f>
        <v>120</v>
      </c>
      <c r="K23" s="17" t="n">
        <f aca="false">MAX(0,Inputs!$B$20*(I23-J23))</f>
        <v>125.476</v>
      </c>
      <c r="L23" s="18" t="n">
        <f aca="false">Inputs!$B$21+K23*Inputs!$B$24/(Inputs!$B$22*Inputs!$B$23)</f>
        <v>35.5995031055901</v>
      </c>
      <c r="M23" s="18" t="n">
        <f aca="false">Inputs!$B$33*Inputs!$B$40*G23</f>
        <v>13.513751461768</v>
      </c>
      <c r="N23" s="18" t="n">
        <f aca="false">Inputs!$B$33*Inputs!$B$41*H23</f>
        <v>8.016712704</v>
      </c>
      <c r="O23" s="19" t="n">
        <f aca="false">M23+N23</f>
        <v>21.530464165768</v>
      </c>
      <c r="P23" s="18" t="n">
        <f aca="false">Inputs!$B$33*Inputs!$B$41*K23</f>
        <v>17.2717212096</v>
      </c>
      <c r="Q23" s="19" t="n">
        <f aca="false">O23-D23</f>
        <v>-40.569535834232</v>
      </c>
      <c r="R23" s="19" t="n">
        <f aca="false">P23-E23</f>
        <v>11.4307212096</v>
      </c>
      <c r="S23" s="18" t="n">
        <f aca="false">Inputs!$B$33*Inputs!$B$40*Inputs!$B$45*B23</f>
        <v>12.0912513078977</v>
      </c>
      <c r="T23" s="19" t="n">
        <f aca="false">S23+N23</f>
        <v>20.1079640118977</v>
      </c>
    </row>
    <row r="24" customFormat="false" ht="15" hidden="false" customHeight="false" outlineLevel="0" collapsed="false">
      <c r="A24" s="12" t="n">
        <v>20</v>
      </c>
      <c r="B24" s="13" t="n">
        <v>149</v>
      </c>
      <c r="C24" s="14" t="n">
        <v>23.3333333333333</v>
      </c>
      <c r="D24" s="15" t="n">
        <v>48.2</v>
      </c>
      <c r="E24" s="15" t="n">
        <v>3.399</v>
      </c>
      <c r="F24" s="16" t="n">
        <f aca="false">IF(B24&gt;0,1,0)</f>
        <v>1</v>
      </c>
      <c r="G24" s="17" t="n">
        <f aca="false">Inputs!$B$44*B24</f>
        <v>32.486069611968</v>
      </c>
      <c r="H24" s="17" t="n">
        <f aca="false">Inputs!$B$17*B24</f>
        <v>23.84</v>
      </c>
      <c r="I24" s="17" t="n">
        <f aca="false">Inputs!$B$18*B24</f>
        <v>128.14</v>
      </c>
      <c r="J24" s="17" t="n">
        <f aca="false">Inputs!$B$19*(Inputs!$B$21-C24)</f>
        <v>140</v>
      </c>
      <c r="K24" s="17" t="n">
        <f aca="false">MAX(0,Inputs!$B$20*(I24-J24))</f>
        <v>0</v>
      </c>
      <c r="L24" s="18" t="n">
        <f aca="false">Inputs!$B$21+K24*Inputs!$B$24/(Inputs!$B$22*Inputs!$B$23)</f>
        <v>35</v>
      </c>
      <c r="M24" s="18" t="n">
        <f aca="false">Inputs!$B$33*Inputs!$B$40*G24</f>
        <v>5.53172793352591</v>
      </c>
      <c r="N24" s="18" t="n">
        <f aca="false">Inputs!$B$33*Inputs!$B$41*H24</f>
        <v>3.281566464</v>
      </c>
      <c r="O24" s="19" t="n">
        <f aca="false">M24+N24</f>
        <v>8.81329439752591</v>
      </c>
      <c r="P24" s="18" t="n">
        <f aca="false">Inputs!$B$33*Inputs!$B$41*K24</f>
        <v>0</v>
      </c>
      <c r="Q24" s="19" t="n">
        <f aca="false">O24-D24</f>
        <v>-39.3867056024741</v>
      </c>
      <c r="R24" s="19" t="n">
        <f aca="false">P24-E24</f>
        <v>-3.399</v>
      </c>
      <c r="S24" s="18" t="n">
        <f aca="false">Inputs!$B$33*Inputs!$B$40*Inputs!$B$45*B24</f>
        <v>4.94944078262845</v>
      </c>
      <c r="T24" s="19" t="n">
        <f aca="false">S24+N24</f>
        <v>8.23100724662845</v>
      </c>
    </row>
    <row r="25" customFormat="false" ht="15" hidden="false" customHeight="false" outlineLevel="0" collapsed="false">
      <c r="A25" s="12" t="n">
        <v>21</v>
      </c>
      <c r="B25" s="13" t="n">
        <v>63</v>
      </c>
      <c r="C25" s="14" t="n">
        <v>21.1111111111111</v>
      </c>
      <c r="D25" s="15" t="n">
        <v>39.6</v>
      </c>
      <c r="E25" s="15" t="n">
        <v>2.574</v>
      </c>
      <c r="F25" s="16" t="n">
        <f aca="false">IF(B25&gt;0,1,0)</f>
        <v>1</v>
      </c>
      <c r="G25" s="17" t="n">
        <f aca="false">Inputs!$B$44*B25</f>
        <v>13.735720708416</v>
      </c>
      <c r="H25" s="17" t="n">
        <f aca="false">Inputs!$B$17*B25</f>
        <v>10.08</v>
      </c>
      <c r="I25" s="17" t="n">
        <f aca="false">Inputs!$B$18*B25</f>
        <v>54.18</v>
      </c>
      <c r="J25" s="17" t="n">
        <f aca="false">Inputs!$B$19*(Inputs!$B$21-C25)</f>
        <v>166.666666666667</v>
      </c>
      <c r="K25" s="17" t="n">
        <f aca="false">MAX(0,Inputs!$B$20*(I25-J25))</f>
        <v>0</v>
      </c>
      <c r="L25" s="18" t="n">
        <f aca="false">Inputs!$B$21+K25*Inputs!$B$24/(Inputs!$B$22*Inputs!$B$23)</f>
        <v>35</v>
      </c>
      <c r="M25" s="18" t="n">
        <f aca="false">Inputs!$B$33*Inputs!$B$40*G25</f>
        <v>2.33891852222908</v>
      </c>
      <c r="N25" s="18" t="n">
        <f aca="false">Inputs!$B$33*Inputs!$B$41*H25</f>
        <v>1.387507968</v>
      </c>
      <c r="O25" s="19" t="n">
        <f aca="false">M25+N25</f>
        <v>3.72642649022908</v>
      </c>
      <c r="P25" s="18" t="n">
        <f aca="false">Inputs!$B$33*Inputs!$B$41*K25</f>
        <v>0</v>
      </c>
      <c r="Q25" s="19" t="n">
        <f aca="false">O25-D25</f>
        <v>-35.8735735097709</v>
      </c>
      <c r="R25" s="19" t="n">
        <f aca="false">P25-E25</f>
        <v>-2.574</v>
      </c>
      <c r="S25" s="18" t="n">
        <f aca="false">Inputs!$B$33*Inputs!$B$40*Inputs!$B$45*B25</f>
        <v>2.09271657252075</v>
      </c>
      <c r="T25" s="19" t="n">
        <f aca="false">S25+N25</f>
        <v>3.48022454052075</v>
      </c>
    </row>
    <row r="26" customFormat="false" ht="15" hidden="false" customHeight="false" outlineLevel="0" collapsed="false">
      <c r="A26" s="12" t="n">
        <v>22</v>
      </c>
      <c r="B26" s="13" t="n">
        <v>0</v>
      </c>
      <c r="C26" s="14" t="n">
        <v>21.1111111111111</v>
      </c>
      <c r="D26" s="15" t="n">
        <v>23.3</v>
      </c>
      <c r="E26" s="15" t="n">
        <v>1.914</v>
      </c>
      <c r="F26" s="16" t="n">
        <f aca="false">IF(B26&gt;0,1,0)</f>
        <v>0</v>
      </c>
      <c r="G26" s="17" t="n">
        <f aca="false">Inputs!$B$44*B26</f>
        <v>0</v>
      </c>
      <c r="H26" s="17" t="n">
        <f aca="false">Inputs!$B$17*B26</f>
        <v>0</v>
      </c>
      <c r="I26" s="17" t="n">
        <f aca="false">Inputs!$B$18*B26</f>
        <v>0</v>
      </c>
      <c r="J26" s="17" t="n">
        <f aca="false">Inputs!$B$19*(Inputs!$B$21-C26)</f>
        <v>166.666666666667</v>
      </c>
      <c r="K26" s="17" t="n">
        <f aca="false">MAX(0,Inputs!$B$20*(I26-J26))</f>
        <v>0</v>
      </c>
      <c r="L26" s="18" t="n">
        <f aca="false">Inputs!$B$21+K26*Inputs!$B$24/(Inputs!$B$22*Inputs!$B$23)</f>
        <v>35</v>
      </c>
      <c r="M26" s="18" t="n">
        <f aca="false">Inputs!$B$33*Inputs!$B$40*G26</f>
        <v>0</v>
      </c>
      <c r="N26" s="18" t="n">
        <f aca="false">Inputs!$B$33*Inputs!$B$41*H26</f>
        <v>0</v>
      </c>
      <c r="O26" s="19" t="n">
        <f aca="false">M26+N26</f>
        <v>0</v>
      </c>
      <c r="P26" s="18" t="n">
        <f aca="false">Inputs!$B$33*Inputs!$B$41*K26</f>
        <v>0</v>
      </c>
      <c r="Q26" s="19" t="n">
        <f aca="false">O26-D26</f>
        <v>-23.3</v>
      </c>
      <c r="R26" s="19" t="n">
        <f aca="false">P26-E26</f>
        <v>-1.914</v>
      </c>
      <c r="S26" s="18" t="n">
        <f aca="false">Inputs!$B$33*Inputs!$B$40*Inputs!$B$45*B26</f>
        <v>0</v>
      </c>
      <c r="T26" s="19" t="n">
        <f aca="false">S26+N26</f>
        <v>0</v>
      </c>
    </row>
    <row r="27" customFormat="false" ht="15" hidden="false" customHeight="false" outlineLevel="0" collapsed="false">
      <c r="A27" s="12" t="n">
        <v>23</v>
      </c>
      <c r="B27" s="13" t="n">
        <v>0</v>
      </c>
      <c r="C27" s="14" t="n">
        <v>19.4444444444445</v>
      </c>
      <c r="D27" s="15" t="n">
        <v>9.4</v>
      </c>
      <c r="E27" s="15" t="n">
        <v>1.947</v>
      </c>
      <c r="F27" s="16" t="n">
        <f aca="false">IF(B27&gt;0,1,0)</f>
        <v>0</v>
      </c>
      <c r="G27" s="17" t="n">
        <f aca="false">Inputs!$B$44*B27</f>
        <v>0</v>
      </c>
      <c r="H27" s="17" t="n">
        <f aca="false">Inputs!$B$17*B27</f>
        <v>0</v>
      </c>
      <c r="I27" s="17" t="n">
        <f aca="false">Inputs!$B$18*B27</f>
        <v>0</v>
      </c>
      <c r="J27" s="17" t="n">
        <f aca="false">Inputs!$B$19*(Inputs!$B$21-C27)</f>
        <v>186.666666666667</v>
      </c>
      <c r="K27" s="17" t="n">
        <f aca="false">MAX(0,Inputs!$B$20*(I27-J27))</f>
        <v>0</v>
      </c>
      <c r="L27" s="18" t="n">
        <f aca="false">Inputs!$B$21+K27*Inputs!$B$24/(Inputs!$B$22*Inputs!$B$23)</f>
        <v>35</v>
      </c>
      <c r="M27" s="18" t="n">
        <f aca="false">Inputs!$B$33*Inputs!$B$40*G27</f>
        <v>0</v>
      </c>
      <c r="N27" s="18" t="n">
        <f aca="false">Inputs!$B$33*Inputs!$B$41*H27</f>
        <v>0</v>
      </c>
      <c r="O27" s="19" t="n">
        <f aca="false">M27+N27</f>
        <v>0</v>
      </c>
      <c r="P27" s="18" t="n">
        <f aca="false">Inputs!$B$33*Inputs!$B$41*K27</f>
        <v>0</v>
      </c>
      <c r="Q27" s="19" t="n">
        <f aca="false">O27-D27</f>
        <v>-9.4</v>
      </c>
      <c r="R27" s="19" t="n">
        <f aca="false">P27-E27</f>
        <v>-1.947</v>
      </c>
      <c r="S27" s="18" t="n">
        <f aca="false">Inputs!$B$33*Inputs!$B$40*Inputs!$B$45*B27</f>
        <v>0</v>
      </c>
      <c r="T27" s="19" t="n">
        <f aca="false">S27+N27</f>
        <v>0</v>
      </c>
    </row>
    <row r="28" customFormat="false" ht="15" hidden="false" customHeight="false" outlineLevel="0" collapsed="false">
      <c r="A28" s="20" t="s">
        <v>106</v>
      </c>
      <c r="B28" s="20"/>
      <c r="C28" s="20"/>
      <c r="D28" s="21" t="n">
        <f aca="false">SUM(D4:D27)</f>
        <v>541.9</v>
      </c>
      <c r="E28" s="21" t="n">
        <f aca="false">SUM(E4:E27)</f>
        <v>152.8659</v>
      </c>
      <c r="F28" s="22" t="n">
        <f aca="false">SUM(F4:F27)</f>
        <v>16</v>
      </c>
      <c r="G28" s="20"/>
      <c r="H28" s="20"/>
      <c r="I28" s="20"/>
      <c r="J28" s="20"/>
      <c r="K28" s="20"/>
      <c r="L28" s="20"/>
      <c r="M28" s="21" t="n">
        <f aca="false">SUM(M4:M27)</f>
        <v>329.156374890206</v>
      </c>
      <c r="N28" s="21" t="n">
        <f aca="false">SUM(N4:N27)</f>
        <v>195.264216576</v>
      </c>
      <c r="O28" s="21" t="n">
        <f aca="false">SUM(O4:O27)</f>
        <v>524.420591466206</v>
      </c>
      <c r="P28" s="21" t="n">
        <f aca="false">SUM(P4:P27)</f>
        <v>509.9643298464</v>
      </c>
      <c r="Q28" s="21" t="n">
        <f aca="false">SUM(Q4:Q27)</f>
        <v>-17.4794085337939</v>
      </c>
      <c r="R28" s="21" t="n">
        <f aca="false">SUM(R4:R27)</f>
        <v>357.0984298464</v>
      </c>
      <c r="S28" s="21" t="n">
        <f aca="false">SUM(S4:S27)</f>
        <v>294.508335428079</v>
      </c>
      <c r="T28" s="21" t="n">
        <f aca="false">SUM(T4:T27)</f>
        <v>489.772552004079</v>
      </c>
    </row>
    <row r="29" customFormat="false" ht="15" hidden="false" customHeight="false" outlineLevel="0" collapsed="false">
      <c r="A29" s="23" t="s">
        <v>107</v>
      </c>
      <c r="B29" s="23"/>
      <c r="C29" s="23"/>
      <c r="D29" s="24" t="n">
        <f aca="false">SUMPRODUCT(D4:D27,$F$4:$F$27)</f>
        <v>478.4</v>
      </c>
      <c r="E29" s="24" t="n">
        <f aca="false">SUMPRODUCT(E4:E27,$F$4:$F$27)</f>
        <v>136.5771</v>
      </c>
      <c r="F29" s="23"/>
      <c r="G29" s="23"/>
      <c r="H29" s="23"/>
      <c r="I29" s="23"/>
      <c r="J29" s="23"/>
      <c r="K29" s="23"/>
      <c r="L29" s="23"/>
      <c r="M29" s="24" t="n">
        <f aca="false">SUMPRODUCT(M4:M27,$F$4:$F$27)</f>
        <v>329.156374890206</v>
      </c>
      <c r="N29" s="24" t="n">
        <f aca="false">SUMPRODUCT(N4:N27,$F$4:$F$27)</f>
        <v>195.264216576</v>
      </c>
      <c r="O29" s="24" t="n">
        <f aca="false">SUMPRODUCT(O4:O27,$F$4:$F$27)</f>
        <v>524.420591466206</v>
      </c>
      <c r="P29" s="24" t="n">
        <f aca="false">SUMPRODUCT(P4:P27,$F$4:$F$27)</f>
        <v>509.9643298464</v>
      </c>
      <c r="Q29" s="24" t="n">
        <f aca="false">SUMPRODUCT(Q4:Q27,$F$4:$F$27)</f>
        <v>46.0205914662061</v>
      </c>
      <c r="R29" s="24" t="n">
        <f aca="false">SUMPRODUCT(R4:R27,$F$4:$F$27)</f>
        <v>373.3872298464</v>
      </c>
      <c r="S29" s="24" t="n">
        <f aca="false">SUMPRODUCT(S4:S27,$F$4:$F$27)</f>
        <v>294.508335428079</v>
      </c>
      <c r="T29" s="24" t="n">
        <f aca="false">SUMPRODUCT(T4:T27,$F$4:$F$27)</f>
        <v>489.772552004079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3" customFormat="false" ht="61.5" hidden="false" customHeight="true" outlineLevel="0" collapsed="false">
      <c r="A3" s="3" t="s">
        <v>66</v>
      </c>
      <c r="B3" s="3" t="s">
        <v>111</v>
      </c>
      <c r="C3" s="3" t="s">
        <v>112</v>
      </c>
      <c r="D3" s="3" t="s">
        <v>113</v>
      </c>
      <c r="E3" s="3" t="s">
        <v>114</v>
      </c>
    </row>
    <row r="4" customFormat="false" ht="15" hidden="false" customHeight="false" outlineLevel="0" collapsed="false">
      <c r="A4" s="25" t="n">
        <v>0</v>
      </c>
      <c r="B4" s="5" t="n">
        <v>343</v>
      </c>
      <c r="C4" s="5" t="s">
        <v>115</v>
      </c>
      <c r="D4" s="5" t="s">
        <v>115</v>
      </c>
      <c r="E4" s="25" t="n">
        <v>6036800</v>
      </c>
    </row>
    <row r="5" customFormat="false" ht="15" hidden="false" customHeight="false" outlineLevel="0" collapsed="false">
      <c r="A5" s="25" t="n">
        <v>100</v>
      </c>
      <c r="B5" s="5" t="n">
        <v>342</v>
      </c>
      <c r="C5" s="5" t="s">
        <v>115</v>
      </c>
      <c r="D5" s="5" t="s">
        <v>115</v>
      </c>
      <c r="E5" s="25" t="n">
        <v>6079200</v>
      </c>
    </row>
    <row r="6" customFormat="false" ht="15" hidden="false" customHeight="false" outlineLevel="0" collapsed="false">
      <c r="A6" s="25" t="n">
        <v>200</v>
      </c>
      <c r="B6" s="5" t="n">
        <v>340</v>
      </c>
      <c r="C6" s="5" t="s">
        <v>115</v>
      </c>
      <c r="D6" s="5" t="s">
        <v>115</v>
      </c>
      <c r="E6" s="25" t="n">
        <v>6104000</v>
      </c>
    </row>
    <row r="7" customFormat="false" ht="15" hidden="false" customHeight="false" outlineLevel="0" collapsed="false">
      <c r="A7" s="25" t="n">
        <v>300</v>
      </c>
      <c r="B7" s="5" t="n">
        <v>339</v>
      </c>
      <c r="C7" s="5" t="s">
        <v>115</v>
      </c>
      <c r="D7" s="5" t="s">
        <v>115</v>
      </c>
      <c r="E7" s="25" t="n">
        <v>6146400</v>
      </c>
    </row>
    <row r="8" customFormat="false" ht="15" hidden="false" customHeight="false" outlineLevel="0" collapsed="false">
      <c r="A8" s="25" t="n">
        <v>400</v>
      </c>
      <c r="B8" s="5" t="n">
        <v>338</v>
      </c>
      <c r="C8" s="5" t="s">
        <v>115</v>
      </c>
      <c r="D8" s="5" t="s">
        <v>115</v>
      </c>
      <c r="E8" s="25" t="n">
        <v>6188800</v>
      </c>
    </row>
    <row r="9" customFormat="false" ht="15" hidden="false" customHeight="false" outlineLevel="0" collapsed="false">
      <c r="A9" s="25" t="n">
        <v>500</v>
      </c>
      <c r="B9" s="5" t="n">
        <v>336</v>
      </c>
      <c r="C9" s="5" t="s">
        <v>115</v>
      </c>
      <c r="D9" s="5" t="s">
        <v>115</v>
      </c>
      <c r="E9" s="25" t="n">
        <v>6213600</v>
      </c>
    </row>
    <row r="10" customFormat="false" ht="15" hidden="false" customHeight="false" outlineLevel="0" collapsed="false">
      <c r="A10" s="25" t="n">
        <v>600</v>
      </c>
      <c r="B10" s="5" t="n">
        <v>335</v>
      </c>
      <c r="C10" s="5" t="s">
        <v>115</v>
      </c>
      <c r="D10" s="5" t="s">
        <v>115</v>
      </c>
      <c r="E10" s="25" t="n">
        <v>6256000</v>
      </c>
    </row>
    <row r="11" customFormat="false" ht="15" hidden="false" customHeight="false" outlineLevel="0" collapsed="false">
      <c r="A11" s="25" t="n">
        <v>700</v>
      </c>
      <c r="B11" s="5" t="n">
        <v>334</v>
      </c>
      <c r="C11" s="5" t="s">
        <v>115</v>
      </c>
      <c r="D11" s="5" t="s">
        <v>115</v>
      </c>
      <c r="E11" s="25" t="n">
        <v>6298400</v>
      </c>
    </row>
    <row r="12" customFormat="false" ht="15" hidden="false" customHeight="false" outlineLevel="0" collapsed="false">
      <c r="A12" s="25" t="n">
        <v>800</v>
      </c>
      <c r="B12" s="5" t="n">
        <v>332</v>
      </c>
      <c r="C12" s="5" t="s">
        <v>115</v>
      </c>
      <c r="D12" s="5" t="s">
        <v>115</v>
      </c>
      <c r="E12" s="25" t="n">
        <v>6323200</v>
      </c>
    </row>
    <row r="13" customFormat="false" ht="15" hidden="false" customHeight="false" outlineLevel="0" collapsed="false">
      <c r="A13" s="25" t="n">
        <v>900</v>
      </c>
      <c r="B13" s="5" t="n">
        <v>331</v>
      </c>
      <c r="C13" s="5" t="s">
        <v>115</v>
      </c>
      <c r="D13" s="5" t="s">
        <v>115</v>
      </c>
      <c r="E13" s="25" t="n">
        <v>6365600</v>
      </c>
    </row>
    <row r="14" customFormat="false" ht="15" hidden="false" customHeight="false" outlineLevel="0" collapsed="false">
      <c r="A14" s="25" t="n">
        <v>1000</v>
      </c>
      <c r="B14" s="5" t="n">
        <v>330</v>
      </c>
      <c r="C14" s="5" t="s">
        <v>115</v>
      </c>
      <c r="D14" s="5" t="s">
        <v>115</v>
      </c>
      <c r="E14" s="25" t="n">
        <v>6408000</v>
      </c>
    </row>
    <row r="15" customFormat="false" ht="15" hidden="false" customHeight="false" outlineLevel="0" collapsed="false">
      <c r="A15" s="25" t="n">
        <v>1100</v>
      </c>
      <c r="B15" s="5" t="n">
        <v>328</v>
      </c>
      <c r="C15" s="5" t="s">
        <v>115</v>
      </c>
      <c r="D15" s="5" t="s">
        <v>115</v>
      </c>
      <c r="E15" s="25" t="n">
        <v>6432800</v>
      </c>
    </row>
    <row r="16" customFormat="false" ht="15" hidden="false" customHeight="false" outlineLevel="0" collapsed="false">
      <c r="A16" s="25" t="n">
        <v>1200</v>
      </c>
      <c r="B16" s="5" t="n">
        <v>327</v>
      </c>
      <c r="C16" s="5" t="s">
        <v>115</v>
      </c>
      <c r="D16" s="5" t="s">
        <v>115</v>
      </c>
      <c r="E16" s="25" t="n">
        <v>6475200</v>
      </c>
    </row>
    <row r="17" customFormat="false" ht="15" hidden="false" customHeight="false" outlineLevel="0" collapsed="false">
      <c r="A17" s="25" t="n">
        <v>1300</v>
      </c>
      <c r="B17" s="5" t="n">
        <v>326</v>
      </c>
      <c r="C17" s="5" t="s">
        <v>115</v>
      </c>
      <c r="D17" s="5" t="s">
        <v>115</v>
      </c>
      <c r="E17" s="25" t="n">
        <v>6517600</v>
      </c>
    </row>
    <row r="18" customFormat="false" ht="15" hidden="false" customHeight="false" outlineLevel="0" collapsed="false">
      <c r="A18" s="25" t="n">
        <v>1400</v>
      </c>
      <c r="B18" s="5" t="n">
        <v>324</v>
      </c>
      <c r="C18" s="5" t="s">
        <v>115</v>
      </c>
      <c r="D18" s="5" t="s">
        <v>115</v>
      </c>
      <c r="E18" s="25" t="n">
        <v>6542400</v>
      </c>
    </row>
    <row r="19" customFormat="false" ht="15" hidden="false" customHeight="false" outlineLevel="0" collapsed="false">
      <c r="A19" s="25" t="n">
        <v>1500</v>
      </c>
      <c r="B19" s="5" t="n">
        <v>323</v>
      </c>
      <c r="C19" s="5" t="s">
        <v>115</v>
      </c>
      <c r="D19" s="5" t="s">
        <v>115</v>
      </c>
      <c r="E19" s="25" t="n">
        <v>6584800</v>
      </c>
    </row>
    <row r="20" customFormat="false" ht="15" hidden="false" customHeight="false" outlineLevel="0" collapsed="false">
      <c r="A20" s="25" t="n">
        <v>1600</v>
      </c>
      <c r="B20" s="5" t="n">
        <v>322</v>
      </c>
      <c r="C20" s="5" t="s">
        <v>115</v>
      </c>
      <c r="D20" s="5" t="s">
        <v>115</v>
      </c>
      <c r="E20" s="25" t="n">
        <v>6627200</v>
      </c>
    </row>
    <row r="21" customFormat="false" ht="15" hidden="false" customHeight="false" outlineLevel="0" collapsed="false">
      <c r="A21" s="25" t="n">
        <v>1700</v>
      </c>
      <c r="B21" s="5" t="n">
        <v>320</v>
      </c>
      <c r="C21" s="5" t="s">
        <v>115</v>
      </c>
      <c r="D21" s="5" t="s">
        <v>115</v>
      </c>
      <c r="E21" s="25" t="n">
        <v>6652000</v>
      </c>
    </row>
    <row r="22" customFormat="false" ht="15" hidden="false" customHeight="false" outlineLevel="0" collapsed="false">
      <c r="A22" s="25" t="n">
        <v>1800</v>
      </c>
      <c r="B22" s="5" t="n">
        <v>319</v>
      </c>
      <c r="C22" s="5" t="s">
        <v>115</v>
      </c>
      <c r="D22" s="5" t="s">
        <v>115</v>
      </c>
      <c r="E22" s="25" t="n">
        <v>6694400</v>
      </c>
    </row>
    <row r="23" customFormat="false" ht="15" hidden="false" customHeight="false" outlineLevel="0" collapsed="false">
      <c r="A23" s="25" t="n">
        <v>1900</v>
      </c>
      <c r="B23" s="5" t="n">
        <v>318</v>
      </c>
      <c r="C23" s="5" t="s">
        <v>115</v>
      </c>
      <c r="D23" s="5" t="s">
        <v>115</v>
      </c>
      <c r="E23" s="25" t="n">
        <v>6736800</v>
      </c>
    </row>
    <row r="24" customFormat="false" ht="15" hidden="false" customHeight="false" outlineLevel="0" collapsed="false">
      <c r="A24" s="25" t="n">
        <v>2000</v>
      </c>
      <c r="B24" s="5" t="n">
        <v>316</v>
      </c>
      <c r="C24" s="5" t="s">
        <v>115</v>
      </c>
      <c r="D24" s="5" t="s">
        <v>115</v>
      </c>
      <c r="E24" s="25" t="n">
        <v>6761600</v>
      </c>
    </row>
    <row r="25" customFormat="false" ht="15" hidden="false" customHeight="false" outlineLevel="0" collapsed="false">
      <c r="A25" s="25" t="n">
        <v>2100</v>
      </c>
      <c r="B25" s="5" t="n">
        <v>315</v>
      </c>
      <c r="C25" s="5" t="s">
        <v>115</v>
      </c>
      <c r="D25" s="5" t="s">
        <v>115</v>
      </c>
      <c r="E25" s="25" t="n">
        <v>6804000</v>
      </c>
    </row>
    <row r="26" customFormat="false" ht="15" hidden="false" customHeight="false" outlineLevel="0" collapsed="false">
      <c r="A26" s="25" t="n">
        <v>2200</v>
      </c>
      <c r="B26" s="5" t="n">
        <v>314</v>
      </c>
      <c r="C26" s="5" t="s">
        <v>115</v>
      </c>
      <c r="D26" s="5" t="s">
        <v>115</v>
      </c>
      <c r="E26" s="25" t="n">
        <v>6846400</v>
      </c>
    </row>
    <row r="27" customFormat="false" ht="15" hidden="false" customHeight="false" outlineLevel="0" collapsed="false">
      <c r="A27" s="25" t="n">
        <v>2300</v>
      </c>
      <c r="B27" s="5" t="n">
        <v>312</v>
      </c>
      <c r="C27" s="5" t="s">
        <v>115</v>
      </c>
      <c r="D27" s="5" t="s">
        <v>115</v>
      </c>
      <c r="E27" s="25" t="n">
        <v>6871200</v>
      </c>
    </row>
    <row r="28" customFormat="false" ht="15" hidden="false" customHeight="false" outlineLevel="0" collapsed="false">
      <c r="A28" s="25" t="n">
        <v>2400</v>
      </c>
      <c r="B28" s="5" t="n">
        <v>311</v>
      </c>
      <c r="C28" s="5" t="s">
        <v>115</v>
      </c>
      <c r="D28" s="5" t="s">
        <v>115</v>
      </c>
      <c r="E28" s="25" t="n">
        <v>6913600</v>
      </c>
    </row>
    <row r="29" customFormat="false" ht="15" hidden="false" customHeight="false" outlineLevel="0" collapsed="false">
      <c r="A29" s="25" t="n">
        <v>2500</v>
      </c>
      <c r="B29" s="5" t="n">
        <v>310</v>
      </c>
      <c r="C29" s="5" t="s">
        <v>115</v>
      </c>
      <c r="D29" s="5" t="s">
        <v>115</v>
      </c>
      <c r="E29" s="25" t="n">
        <v>6956000</v>
      </c>
    </row>
    <row r="30" customFormat="false" ht="15" hidden="false" customHeight="false" outlineLevel="0" collapsed="false">
      <c r="A30" s="25" t="n">
        <v>2600</v>
      </c>
      <c r="B30" s="5" t="n">
        <v>308</v>
      </c>
      <c r="C30" s="5" t="s">
        <v>115</v>
      </c>
      <c r="D30" s="5" t="s">
        <v>115</v>
      </c>
      <c r="E30" s="25" t="n">
        <v>6980800</v>
      </c>
    </row>
    <row r="31" customFormat="false" ht="15" hidden="false" customHeight="false" outlineLevel="0" collapsed="false">
      <c r="A31" s="25" t="n">
        <v>2700</v>
      </c>
      <c r="B31" s="5" t="n">
        <v>307</v>
      </c>
      <c r="C31" s="5" t="s">
        <v>115</v>
      </c>
      <c r="D31" s="5" t="s">
        <v>115</v>
      </c>
      <c r="E31" s="25" t="n">
        <v>7023200</v>
      </c>
    </row>
    <row r="32" customFormat="false" ht="15" hidden="false" customHeight="false" outlineLevel="0" collapsed="false">
      <c r="A32" s="25" t="n">
        <v>2800</v>
      </c>
      <c r="B32" s="5" t="n">
        <v>306</v>
      </c>
      <c r="C32" s="5" t="s">
        <v>115</v>
      </c>
      <c r="D32" s="5" t="s">
        <v>115</v>
      </c>
      <c r="E32" s="25" t="n">
        <v>7065600</v>
      </c>
    </row>
    <row r="33" customFormat="false" ht="15" hidden="false" customHeight="false" outlineLevel="0" collapsed="false">
      <c r="A33" s="25" t="n">
        <v>2900</v>
      </c>
      <c r="B33" s="5" t="n">
        <v>304</v>
      </c>
      <c r="C33" s="5" t="s">
        <v>115</v>
      </c>
      <c r="D33" s="5" t="s">
        <v>115</v>
      </c>
      <c r="E33" s="25" t="n">
        <v>7090400</v>
      </c>
    </row>
    <row r="34" customFormat="false" ht="15" hidden="false" customHeight="false" outlineLevel="0" collapsed="false">
      <c r="A34" s="25" t="n">
        <v>3000</v>
      </c>
      <c r="B34" s="5" t="n">
        <v>303</v>
      </c>
      <c r="C34" s="5" t="s">
        <v>115</v>
      </c>
      <c r="D34" s="5" t="s">
        <v>115</v>
      </c>
      <c r="E34" s="25" t="n">
        <v>7132800</v>
      </c>
    </row>
    <row r="35" customFormat="false" ht="15" hidden="false" customHeight="false" outlineLevel="0" collapsed="false">
      <c r="A35" s="25" t="n">
        <v>3100</v>
      </c>
      <c r="B35" s="5" t="n">
        <v>302</v>
      </c>
      <c r="C35" s="5" t="s">
        <v>115</v>
      </c>
      <c r="D35" s="5" t="s">
        <v>115</v>
      </c>
      <c r="E35" s="25" t="n">
        <v>7175200</v>
      </c>
    </row>
    <row r="36" customFormat="false" ht="15" hidden="false" customHeight="false" outlineLevel="0" collapsed="false">
      <c r="A36" s="25" t="n">
        <v>3200</v>
      </c>
      <c r="B36" s="5" t="n">
        <v>300</v>
      </c>
      <c r="C36" s="5" t="s">
        <v>115</v>
      </c>
      <c r="D36" s="5" t="s">
        <v>115</v>
      </c>
      <c r="E36" s="25" t="n">
        <v>7200000</v>
      </c>
    </row>
    <row r="37" customFormat="false" ht="15" hidden="false" customHeight="false" outlineLevel="0" collapsed="false">
      <c r="A37" s="25" t="n">
        <v>3300</v>
      </c>
      <c r="B37" s="5" t="n">
        <v>299</v>
      </c>
      <c r="C37" s="5" t="s">
        <v>115</v>
      </c>
      <c r="D37" s="5" t="s">
        <v>115</v>
      </c>
      <c r="E37" s="25" t="n">
        <v>7242400</v>
      </c>
    </row>
    <row r="38" customFormat="false" ht="15" hidden="false" customHeight="false" outlineLevel="0" collapsed="false">
      <c r="A38" s="25" t="n">
        <v>3400</v>
      </c>
      <c r="B38" s="5" t="n">
        <v>298</v>
      </c>
      <c r="C38" s="5" t="s">
        <v>115</v>
      </c>
      <c r="D38" s="5" t="s">
        <v>115</v>
      </c>
      <c r="E38" s="25" t="n">
        <v>7284800</v>
      </c>
    </row>
    <row r="39" customFormat="false" ht="15" hidden="false" customHeight="false" outlineLevel="0" collapsed="false">
      <c r="A39" s="25" t="n">
        <v>3500</v>
      </c>
      <c r="B39" s="5" t="n">
        <v>296</v>
      </c>
      <c r="C39" s="5" t="s">
        <v>115</v>
      </c>
      <c r="D39" s="5" t="s">
        <v>115</v>
      </c>
      <c r="E39" s="25" t="n">
        <v>7309600</v>
      </c>
    </row>
    <row r="40" customFormat="false" ht="15" hidden="false" customHeight="false" outlineLevel="0" collapsed="false">
      <c r="A40" s="25" t="n">
        <v>3600</v>
      </c>
      <c r="B40" s="5" t="n">
        <v>295</v>
      </c>
      <c r="C40" s="5" t="s">
        <v>115</v>
      </c>
      <c r="D40" s="5" t="s">
        <v>115</v>
      </c>
      <c r="E40" s="25" t="n">
        <v>7352000</v>
      </c>
    </row>
    <row r="41" customFormat="false" ht="15" hidden="false" customHeight="false" outlineLevel="0" collapsed="false">
      <c r="A41" s="25" t="n">
        <v>3700</v>
      </c>
      <c r="B41" s="5" t="n">
        <v>294</v>
      </c>
      <c r="C41" s="5" t="s">
        <v>115</v>
      </c>
      <c r="D41" s="5" t="s">
        <v>115</v>
      </c>
      <c r="E41" s="25" t="n">
        <v>7394400</v>
      </c>
    </row>
    <row r="42" customFormat="false" ht="15" hidden="false" customHeight="false" outlineLevel="0" collapsed="false">
      <c r="A42" s="25" t="n">
        <v>3800</v>
      </c>
      <c r="B42" s="5" t="n">
        <v>292</v>
      </c>
      <c r="C42" s="5" t="s">
        <v>115</v>
      </c>
      <c r="D42" s="5" t="s">
        <v>115</v>
      </c>
      <c r="E42" s="25" t="n">
        <v>7419200</v>
      </c>
    </row>
    <row r="43" customFormat="false" ht="15" hidden="false" customHeight="false" outlineLevel="0" collapsed="false">
      <c r="A43" s="25" t="n">
        <v>3900</v>
      </c>
      <c r="B43" s="5" t="n">
        <v>291</v>
      </c>
      <c r="C43" s="5" t="s">
        <v>115</v>
      </c>
      <c r="D43" s="5" t="s">
        <v>115</v>
      </c>
      <c r="E43" s="25" t="n">
        <v>7461600</v>
      </c>
    </row>
    <row r="44" customFormat="false" ht="15" hidden="false" customHeight="false" outlineLevel="0" collapsed="false">
      <c r="A44" s="25" t="n">
        <v>4000</v>
      </c>
      <c r="B44" s="5" t="n">
        <v>290</v>
      </c>
      <c r="C44" s="5" t="s">
        <v>115</v>
      </c>
      <c r="D44" s="5" t="s">
        <v>115</v>
      </c>
      <c r="E44" s="25" t="n">
        <v>7504000</v>
      </c>
    </row>
    <row r="45" customFormat="false" ht="15" hidden="false" customHeight="false" outlineLevel="0" collapsed="false">
      <c r="A45" s="25" t="n">
        <v>4100</v>
      </c>
      <c r="B45" s="5" t="n">
        <v>288</v>
      </c>
      <c r="C45" s="5" t="s">
        <v>115</v>
      </c>
      <c r="D45" s="5" t="s">
        <v>115</v>
      </c>
      <c r="E45" s="25" t="n">
        <v>7528800</v>
      </c>
    </row>
    <row r="46" customFormat="false" ht="15" hidden="false" customHeight="false" outlineLevel="0" collapsed="false">
      <c r="A46" s="25" t="n">
        <v>4200</v>
      </c>
      <c r="B46" s="5" t="n">
        <v>287</v>
      </c>
      <c r="C46" s="5" t="s">
        <v>115</v>
      </c>
      <c r="D46" s="5" t="s">
        <v>115</v>
      </c>
      <c r="E46" s="25" t="n">
        <v>7571200</v>
      </c>
    </row>
    <row r="47" customFormat="false" ht="15" hidden="false" customHeight="false" outlineLevel="0" collapsed="false">
      <c r="A47" s="25" t="n">
        <v>4300</v>
      </c>
      <c r="B47" s="5" t="n">
        <v>286</v>
      </c>
      <c r="C47" s="5" t="s">
        <v>115</v>
      </c>
      <c r="D47" s="5" t="s">
        <v>115</v>
      </c>
      <c r="E47" s="25" t="n">
        <v>7613600</v>
      </c>
    </row>
    <row r="48" customFormat="false" ht="15" hidden="false" customHeight="false" outlineLevel="0" collapsed="false">
      <c r="A48" s="25" t="n">
        <v>4400</v>
      </c>
      <c r="B48" s="5" t="n">
        <v>284</v>
      </c>
      <c r="C48" s="5" t="s">
        <v>115</v>
      </c>
      <c r="D48" s="5" t="s">
        <v>115</v>
      </c>
      <c r="E48" s="25" t="n">
        <v>7638400</v>
      </c>
    </row>
    <row r="49" customFormat="false" ht="15" hidden="false" customHeight="false" outlineLevel="0" collapsed="false">
      <c r="A49" s="25" t="n">
        <v>4500</v>
      </c>
      <c r="B49" s="5" t="n">
        <v>283</v>
      </c>
      <c r="C49" s="5" t="s">
        <v>115</v>
      </c>
      <c r="D49" s="5" t="s">
        <v>115</v>
      </c>
      <c r="E49" s="25" t="n">
        <v>7680800</v>
      </c>
    </row>
    <row r="50" customFormat="false" ht="15" hidden="false" customHeight="false" outlineLevel="0" collapsed="false">
      <c r="A50" s="25" t="n">
        <v>4600</v>
      </c>
      <c r="B50" s="5" t="n">
        <v>282</v>
      </c>
      <c r="C50" s="5" t="s">
        <v>115</v>
      </c>
      <c r="D50" s="5" t="s">
        <v>115</v>
      </c>
      <c r="E50" s="25" t="n">
        <v>7723200</v>
      </c>
    </row>
    <row r="51" customFormat="false" ht="15" hidden="false" customHeight="false" outlineLevel="0" collapsed="false">
      <c r="A51" s="25" t="n">
        <v>4700</v>
      </c>
      <c r="B51" s="5" t="n">
        <v>280</v>
      </c>
      <c r="C51" s="5" t="s">
        <v>115</v>
      </c>
      <c r="D51" s="5" t="s">
        <v>115</v>
      </c>
      <c r="E51" s="25" t="n">
        <v>7748000</v>
      </c>
    </row>
    <row r="52" customFormat="false" ht="15" hidden="false" customHeight="false" outlineLevel="0" collapsed="false">
      <c r="A52" s="25" t="n">
        <v>4800</v>
      </c>
      <c r="B52" s="5" t="n">
        <v>279</v>
      </c>
      <c r="C52" s="5" t="s">
        <v>115</v>
      </c>
      <c r="D52" s="5" t="s">
        <v>115</v>
      </c>
      <c r="E52" s="25" t="n">
        <v>7790400</v>
      </c>
    </row>
    <row r="53" customFormat="false" ht="15" hidden="false" customHeight="false" outlineLevel="0" collapsed="false">
      <c r="A53" s="25" t="n">
        <v>4900</v>
      </c>
      <c r="B53" s="5" t="n">
        <v>278</v>
      </c>
      <c r="C53" s="5" t="s">
        <v>115</v>
      </c>
      <c r="D53" s="5" t="s">
        <v>115</v>
      </c>
      <c r="E53" s="25" t="n">
        <v>7832800</v>
      </c>
    </row>
    <row r="54" customFormat="false" ht="15" hidden="false" customHeight="false" outlineLevel="0" collapsed="false">
      <c r="A54" s="25" t="n">
        <v>5000</v>
      </c>
      <c r="B54" s="5" t="n">
        <v>276</v>
      </c>
      <c r="C54" s="5" t="s">
        <v>115</v>
      </c>
      <c r="D54" s="5" t="s">
        <v>115</v>
      </c>
      <c r="E54" s="25" t="n">
        <v>7857600</v>
      </c>
    </row>
    <row r="55" customFormat="false" ht="15" hidden="false" customHeight="false" outlineLevel="0" collapsed="false">
      <c r="A55" s="25" t="n">
        <v>5100</v>
      </c>
      <c r="B55" s="5" t="n">
        <v>275</v>
      </c>
      <c r="C55" s="5" t="s">
        <v>115</v>
      </c>
      <c r="D55" s="5" t="s">
        <v>115</v>
      </c>
      <c r="E55" s="25" t="n">
        <v>7900000</v>
      </c>
    </row>
    <row r="56" customFormat="false" ht="15" hidden="false" customHeight="false" outlineLevel="0" collapsed="false">
      <c r="A56" s="25" t="n">
        <v>5200</v>
      </c>
      <c r="B56" s="5" t="n">
        <v>274</v>
      </c>
      <c r="C56" s="5" t="s">
        <v>115</v>
      </c>
      <c r="D56" s="5" t="s">
        <v>115</v>
      </c>
      <c r="E56" s="25" t="n">
        <v>7942400</v>
      </c>
    </row>
    <row r="57" customFormat="false" ht="15" hidden="false" customHeight="false" outlineLevel="0" collapsed="false">
      <c r="A57" s="25" t="n">
        <v>5300</v>
      </c>
      <c r="B57" s="5" t="n">
        <v>272</v>
      </c>
      <c r="C57" s="5" t="s">
        <v>115</v>
      </c>
      <c r="D57" s="5" t="s">
        <v>115</v>
      </c>
      <c r="E57" s="25" t="n">
        <v>7967200</v>
      </c>
    </row>
    <row r="58" customFormat="false" ht="15" hidden="false" customHeight="false" outlineLevel="0" collapsed="false">
      <c r="A58" s="25" t="n">
        <v>5400</v>
      </c>
      <c r="B58" s="5" t="n">
        <v>271</v>
      </c>
      <c r="C58" s="5" t="s">
        <v>115</v>
      </c>
      <c r="D58" s="5" t="s">
        <v>115</v>
      </c>
      <c r="E58" s="25" t="n">
        <v>8009600</v>
      </c>
    </row>
    <row r="59" customFormat="false" ht="15" hidden="false" customHeight="false" outlineLevel="0" collapsed="false">
      <c r="A59" s="25" t="n">
        <v>5500</v>
      </c>
      <c r="B59" s="5" t="n">
        <v>270</v>
      </c>
      <c r="C59" s="5" t="s">
        <v>115</v>
      </c>
      <c r="D59" s="5" t="s">
        <v>115</v>
      </c>
      <c r="E59" s="25" t="n">
        <v>8052000</v>
      </c>
    </row>
    <row r="60" customFormat="false" ht="15" hidden="false" customHeight="false" outlineLevel="0" collapsed="false">
      <c r="A60" s="25" t="n">
        <v>5600</v>
      </c>
      <c r="B60" s="5" t="n">
        <v>268</v>
      </c>
      <c r="C60" s="5" t="s">
        <v>115</v>
      </c>
      <c r="D60" s="5" t="s">
        <v>115</v>
      </c>
      <c r="E60" s="25" t="n">
        <v>8076800</v>
      </c>
    </row>
    <row r="61" customFormat="false" ht="15" hidden="false" customHeight="false" outlineLevel="0" collapsed="false">
      <c r="A61" s="25" t="n">
        <v>5700</v>
      </c>
      <c r="B61" s="5" t="n">
        <v>267</v>
      </c>
      <c r="C61" s="5" t="s">
        <v>115</v>
      </c>
      <c r="D61" s="5" t="s">
        <v>115</v>
      </c>
      <c r="E61" s="25" t="n">
        <v>8119200</v>
      </c>
    </row>
    <row r="62" customFormat="false" ht="15" hidden="false" customHeight="false" outlineLevel="0" collapsed="false">
      <c r="A62" s="25" t="n">
        <v>5800</v>
      </c>
      <c r="B62" s="5" t="n">
        <v>266</v>
      </c>
      <c r="C62" s="5" t="s">
        <v>115</v>
      </c>
      <c r="D62" s="5" t="s">
        <v>115</v>
      </c>
      <c r="E62" s="25" t="n">
        <v>8161600</v>
      </c>
    </row>
    <row r="63" customFormat="false" ht="15" hidden="false" customHeight="false" outlineLevel="0" collapsed="false">
      <c r="A63" s="25" t="n">
        <v>5900</v>
      </c>
      <c r="B63" s="5" t="n">
        <v>264</v>
      </c>
      <c r="C63" s="5" t="s">
        <v>115</v>
      </c>
      <c r="D63" s="5" t="s">
        <v>115</v>
      </c>
      <c r="E63" s="25" t="n">
        <v>8186400</v>
      </c>
    </row>
    <row r="64" customFormat="false" ht="15" hidden="false" customHeight="false" outlineLevel="0" collapsed="false">
      <c r="A64" s="25" t="n">
        <v>6000</v>
      </c>
      <c r="B64" s="5" t="n">
        <v>263</v>
      </c>
      <c r="C64" s="5" t="s">
        <v>115</v>
      </c>
      <c r="D64" s="5" t="s">
        <v>115</v>
      </c>
      <c r="E64" s="25" t="n">
        <v>8228800</v>
      </c>
    </row>
    <row r="65" customFormat="false" ht="15" hidden="false" customHeight="false" outlineLevel="0" collapsed="false">
      <c r="A65" s="25" t="n">
        <v>6100</v>
      </c>
      <c r="B65" s="5" t="n">
        <v>262</v>
      </c>
      <c r="C65" s="5" t="s">
        <v>115</v>
      </c>
      <c r="D65" s="5" t="s">
        <v>115</v>
      </c>
      <c r="E65" s="25" t="n">
        <v>8271200</v>
      </c>
    </row>
    <row r="66" customFormat="false" ht="15" hidden="false" customHeight="false" outlineLevel="0" collapsed="false">
      <c r="A66" s="25" t="n">
        <v>6200</v>
      </c>
      <c r="B66" s="5" t="n">
        <v>260</v>
      </c>
      <c r="C66" s="5" t="s">
        <v>115</v>
      </c>
      <c r="D66" s="5" t="s">
        <v>115</v>
      </c>
      <c r="E66" s="25" t="n">
        <v>8296000</v>
      </c>
    </row>
    <row r="67" customFormat="false" ht="15" hidden="false" customHeight="false" outlineLevel="0" collapsed="false">
      <c r="A67" s="25" t="n">
        <v>6300</v>
      </c>
      <c r="B67" s="5" t="n">
        <v>259</v>
      </c>
      <c r="C67" s="5" t="s">
        <v>115</v>
      </c>
      <c r="D67" s="5" t="s">
        <v>115</v>
      </c>
      <c r="E67" s="25" t="n">
        <v>8338400</v>
      </c>
    </row>
    <row r="68" customFormat="false" ht="15" hidden="false" customHeight="false" outlineLevel="0" collapsed="false">
      <c r="A68" s="25" t="n">
        <v>6400</v>
      </c>
      <c r="B68" s="5" t="n">
        <v>258</v>
      </c>
      <c r="C68" s="5" t="s">
        <v>115</v>
      </c>
      <c r="D68" s="5" t="s">
        <v>115</v>
      </c>
      <c r="E68" s="25" t="n">
        <v>8380800</v>
      </c>
    </row>
    <row r="69" customFormat="false" ht="15" hidden="false" customHeight="false" outlineLevel="0" collapsed="false">
      <c r="A69" s="25" t="n">
        <v>6500</v>
      </c>
      <c r="B69" s="5" t="n">
        <v>256</v>
      </c>
      <c r="C69" s="5" t="s">
        <v>115</v>
      </c>
      <c r="D69" s="5" t="s">
        <v>115</v>
      </c>
      <c r="E69" s="25" t="n">
        <v>8405600</v>
      </c>
    </row>
    <row r="70" customFormat="false" ht="15" hidden="false" customHeight="false" outlineLevel="0" collapsed="false">
      <c r="A70" s="25" t="n">
        <v>6600</v>
      </c>
      <c r="B70" s="5" t="n">
        <v>255</v>
      </c>
      <c r="C70" s="5" t="s">
        <v>115</v>
      </c>
      <c r="D70" s="5" t="s">
        <v>115</v>
      </c>
      <c r="E70" s="25" t="n">
        <v>8448000</v>
      </c>
    </row>
    <row r="71" customFormat="false" ht="15" hidden="false" customHeight="false" outlineLevel="0" collapsed="false">
      <c r="A71" s="25" t="n">
        <v>6700</v>
      </c>
      <c r="B71" s="5" t="n">
        <v>254</v>
      </c>
      <c r="C71" s="5" t="s">
        <v>115</v>
      </c>
      <c r="D71" s="5" t="s">
        <v>115</v>
      </c>
      <c r="E71" s="25" t="n">
        <v>8490400</v>
      </c>
    </row>
    <row r="72" customFormat="false" ht="15" hidden="false" customHeight="false" outlineLevel="0" collapsed="false">
      <c r="A72" s="25" t="n">
        <v>6800</v>
      </c>
      <c r="B72" s="5" t="n">
        <v>252</v>
      </c>
      <c r="C72" s="5" t="s">
        <v>115</v>
      </c>
      <c r="D72" s="5" t="s">
        <v>115</v>
      </c>
      <c r="E72" s="25" t="n">
        <v>8515200</v>
      </c>
    </row>
    <row r="73" customFormat="false" ht="15" hidden="false" customHeight="false" outlineLevel="0" collapsed="false">
      <c r="A73" s="25" t="n">
        <v>6900</v>
      </c>
      <c r="B73" s="5" t="n">
        <v>251</v>
      </c>
      <c r="C73" s="5" t="s">
        <v>115</v>
      </c>
      <c r="D73" s="5" t="s">
        <v>115</v>
      </c>
      <c r="E73" s="25" t="n">
        <v>8557600</v>
      </c>
    </row>
    <row r="74" customFormat="false" ht="15" hidden="false" customHeight="false" outlineLevel="0" collapsed="false">
      <c r="A74" s="25" t="n">
        <v>7000</v>
      </c>
      <c r="B74" s="5" t="n">
        <v>250</v>
      </c>
      <c r="C74" s="5" t="s">
        <v>115</v>
      </c>
      <c r="D74" s="5" t="s">
        <v>115</v>
      </c>
      <c r="E74" s="25" t="n">
        <v>8600000</v>
      </c>
    </row>
    <row r="75" customFormat="false" ht="15" hidden="false" customHeight="false" outlineLevel="0" collapsed="false">
      <c r="A75" s="25" t="n">
        <v>7100</v>
      </c>
      <c r="B75" s="5" t="n">
        <v>248</v>
      </c>
      <c r="C75" s="5" t="s">
        <v>115</v>
      </c>
      <c r="D75" s="5" t="s">
        <v>115</v>
      </c>
      <c r="E75" s="25" t="n">
        <v>8624800</v>
      </c>
    </row>
    <row r="76" customFormat="false" ht="15" hidden="false" customHeight="false" outlineLevel="0" collapsed="false">
      <c r="A76" s="25" t="n">
        <v>7200</v>
      </c>
      <c r="B76" s="5" t="n">
        <v>247</v>
      </c>
      <c r="C76" s="5" t="s">
        <v>115</v>
      </c>
      <c r="D76" s="5" t="s">
        <v>115</v>
      </c>
      <c r="E76" s="25" t="n">
        <v>8667200</v>
      </c>
    </row>
    <row r="77" customFormat="false" ht="15" hidden="false" customHeight="false" outlineLevel="0" collapsed="false">
      <c r="A77" s="25" t="n">
        <v>7300</v>
      </c>
      <c r="B77" s="5" t="n">
        <v>246</v>
      </c>
      <c r="C77" s="5" t="s">
        <v>115</v>
      </c>
      <c r="D77" s="5" t="s">
        <v>115</v>
      </c>
      <c r="E77" s="25" t="n">
        <v>8709600</v>
      </c>
    </row>
    <row r="78" customFormat="false" ht="15" hidden="false" customHeight="false" outlineLevel="0" collapsed="false">
      <c r="A78" s="25" t="n">
        <v>7400</v>
      </c>
      <c r="B78" s="5" t="n">
        <v>244</v>
      </c>
      <c r="C78" s="5" t="s">
        <v>115</v>
      </c>
      <c r="D78" s="5" t="s">
        <v>115</v>
      </c>
      <c r="E78" s="25" t="n">
        <v>8734400</v>
      </c>
    </row>
    <row r="79" customFormat="false" ht="15" hidden="false" customHeight="false" outlineLevel="0" collapsed="false">
      <c r="A79" s="25" t="n">
        <v>7500</v>
      </c>
      <c r="B79" s="5" t="n">
        <v>243</v>
      </c>
      <c r="C79" s="5" t="s">
        <v>115</v>
      </c>
      <c r="D79" s="5" t="s">
        <v>115</v>
      </c>
      <c r="E79" s="25" t="n">
        <v>8776800</v>
      </c>
    </row>
    <row r="80" customFormat="false" ht="15" hidden="false" customHeight="false" outlineLevel="0" collapsed="false">
      <c r="A80" s="25" t="n">
        <v>7600</v>
      </c>
      <c r="B80" s="5" t="n">
        <v>242</v>
      </c>
      <c r="C80" s="5" t="s">
        <v>115</v>
      </c>
      <c r="D80" s="5" t="s">
        <v>115</v>
      </c>
      <c r="E80" s="25" t="n">
        <v>8819200</v>
      </c>
    </row>
    <row r="81" customFormat="false" ht="15" hidden="false" customHeight="false" outlineLevel="0" collapsed="false">
      <c r="A81" s="25" t="n">
        <v>7700</v>
      </c>
      <c r="B81" s="5" t="n">
        <v>240</v>
      </c>
      <c r="C81" s="5" t="s">
        <v>115</v>
      </c>
      <c r="D81" s="5" t="s">
        <v>115</v>
      </c>
      <c r="E81" s="25" t="n">
        <v>8844000</v>
      </c>
    </row>
    <row r="82" customFormat="false" ht="15" hidden="false" customHeight="false" outlineLevel="0" collapsed="false">
      <c r="A82" s="25" t="n">
        <v>7800</v>
      </c>
      <c r="B82" s="5" t="n">
        <v>239</v>
      </c>
      <c r="C82" s="5" t="s">
        <v>115</v>
      </c>
      <c r="D82" s="5" t="s">
        <v>115</v>
      </c>
      <c r="E82" s="25" t="n">
        <v>8886400</v>
      </c>
    </row>
    <row r="83" customFormat="false" ht="15" hidden="false" customHeight="false" outlineLevel="0" collapsed="false">
      <c r="A83" s="25" t="n">
        <v>7900</v>
      </c>
      <c r="B83" s="5" t="n">
        <v>238</v>
      </c>
      <c r="C83" s="5" t="s">
        <v>115</v>
      </c>
      <c r="D83" s="5" t="s">
        <v>115</v>
      </c>
      <c r="E83" s="25" t="n">
        <v>8928800</v>
      </c>
    </row>
    <row r="84" customFormat="false" ht="15" hidden="false" customHeight="false" outlineLevel="0" collapsed="false">
      <c r="A84" s="25" t="n">
        <v>8000</v>
      </c>
      <c r="B84" s="5" t="n">
        <v>236</v>
      </c>
      <c r="C84" s="5" t="s">
        <v>115</v>
      </c>
      <c r="D84" s="5" t="s">
        <v>115</v>
      </c>
      <c r="E84" s="25" t="n">
        <v>8953600</v>
      </c>
    </row>
    <row r="85" customFormat="false" ht="15" hidden="false" customHeight="false" outlineLevel="0" collapsed="false">
      <c r="A85" s="25" t="n">
        <v>8100</v>
      </c>
      <c r="B85" s="5" t="n">
        <v>235</v>
      </c>
      <c r="C85" s="5" t="s">
        <v>115</v>
      </c>
      <c r="D85" s="5" t="s">
        <v>115</v>
      </c>
      <c r="E85" s="25" t="n">
        <v>8996000</v>
      </c>
    </row>
    <row r="86" customFormat="false" ht="15" hidden="false" customHeight="false" outlineLevel="0" collapsed="false">
      <c r="A86" s="25" t="n">
        <v>8200</v>
      </c>
      <c r="B86" s="5" t="n">
        <v>234</v>
      </c>
      <c r="C86" s="5" t="s">
        <v>115</v>
      </c>
      <c r="D86" s="5" t="s">
        <v>115</v>
      </c>
      <c r="E86" s="25" t="n">
        <v>9038400</v>
      </c>
    </row>
    <row r="87" customFormat="false" ht="15" hidden="false" customHeight="false" outlineLevel="0" collapsed="false">
      <c r="A87" s="25" t="n">
        <v>8300</v>
      </c>
      <c r="B87" s="5" t="n">
        <v>232</v>
      </c>
      <c r="C87" s="5" t="s">
        <v>115</v>
      </c>
      <c r="D87" s="5" t="s">
        <v>115</v>
      </c>
      <c r="E87" s="25" t="n">
        <v>9063200</v>
      </c>
    </row>
    <row r="88" customFormat="false" ht="15" hidden="false" customHeight="false" outlineLevel="0" collapsed="false">
      <c r="A88" s="25" t="n">
        <v>8400</v>
      </c>
      <c r="B88" s="5" t="n">
        <v>231</v>
      </c>
      <c r="C88" s="5" t="s">
        <v>115</v>
      </c>
      <c r="D88" s="5" t="s">
        <v>115</v>
      </c>
      <c r="E88" s="25" t="n">
        <v>9105600</v>
      </c>
    </row>
    <row r="89" customFormat="false" ht="15" hidden="false" customHeight="false" outlineLevel="0" collapsed="false">
      <c r="A89" s="25" t="n">
        <v>8500</v>
      </c>
      <c r="B89" s="5" t="n">
        <v>230</v>
      </c>
      <c r="C89" s="5" t="s">
        <v>115</v>
      </c>
      <c r="D89" s="5" t="s">
        <v>115</v>
      </c>
      <c r="E89" s="25" t="n">
        <v>9148000</v>
      </c>
    </row>
    <row r="90" customFormat="false" ht="15" hidden="false" customHeight="false" outlineLevel="0" collapsed="false">
      <c r="A90" s="25" t="n">
        <v>8600</v>
      </c>
      <c r="B90" s="5" t="n">
        <v>228</v>
      </c>
      <c r="C90" s="5" t="s">
        <v>115</v>
      </c>
      <c r="D90" s="5" t="s">
        <v>115</v>
      </c>
      <c r="E90" s="25" t="n">
        <v>9172800</v>
      </c>
    </row>
    <row r="91" customFormat="false" ht="15" hidden="false" customHeight="false" outlineLevel="0" collapsed="false">
      <c r="A91" s="25" t="n">
        <v>8700</v>
      </c>
      <c r="B91" s="5" t="n">
        <v>227</v>
      </c>
      <c r="C91" s="5" t="s">
        <v>115</v>
      </c>
      <c r="D91" s="5" t="s">
        <v>115</v>
      </c>
      <c r="E91" s="25" t="n">
        <v>9215200</v>
      </c>
    </row>
    <row r="92" customFormat="false" ht="15" hidden="false" customHeight="false" outlineLevel="0" collapsed="false">
      <c r="A92" s="25" t="n">
        <v>8800</v>
      </c>
      <c r="B92" s="5" t="n">
        <v>226</v>
      </c>
      <c r="C92" s="5" t="s">
        <v>115</v>
      </c>
      <c r="D92" s="5" t="s">
        <v>115</v>
      </c>
      <c r="E92" s="25" t="n">
        <v>9257600</v>
      </c>
    </row>
    <row r="93" customFormat="false" ht="15" hidden="false" customHeight="false" outlineLevel="0" collapsed="false">
      <c r="A93" s="25" t="n">
        <v>8900</v>
      </c>
      <c r="B93" s="5" t="n">
        <v>224</v>
      </c>
      <c r="C93" s="5" t="s">
        <v>115</v>
      </c>
      <c r="D93" s="5" t="s">
        <v>115</v>
      </c>
      <c r="E93" s="25" t="n">
        <v>9282400</v>
      </c>
    </row>
    <row r="94" customFormat="false" ht="15" hidden="false" customHeight="false" outlineLevel="0" collapsed="false">
      <c r="A94" s="25" t="n">
        <v>9000</v>
      </c>
      <c r="B94" s="5" t="n">
        <v>223</v>
      </c>
      <c r="C94" s="5" t="s">
        <v>115</v>
      </c>
      <c r="D94" s="5" t="s">
        <v>115</v>
      </c>
      <c r="E94" s="25" t="n">
        <v>9324800</v>
      </c>
    </row>
    <row r="95" customFormat="false" ht="15" hidden="false" customHeight="false" outlineLevel="0" collapsed="false">
      <c r="A95" s="25" t="n">
        <v>9100</v>
      </c>
      <c r="B95" s="5" t="n">
        <v>222</v>
      </c>
      <c r="C95" s="5" t="s">
        <v>115</v>
      </c>
      <c r="D95" s="5" t="s">
        <v>115</v>
      </c>
      <c r="E95" s="25" t="n">
        <v>9367200</v>
      </c>
    </row>
    <row r="96" customFormat="false" ht="15" hidden="false" customHeight="false" outlineLevel="0" collapsed="false">
      <c r="A96" s="25" t="n">
        <v>9200</v>
      </c>
      <c r="B96" s="5" t="n">
        <v>220</v>
      </c>
      <c r="C96" s="5" t="s">
        <v>115</v>
      </c>
      <c r="D96" s="5" t="s">
        <v>115</v>
      </c>
      <c r="E96" s="25" t="n">
        <v>9392000</v>
      </c>
    </row>
    <row r="97" customFormat="false" ht="15" hidden="false" customHeight="false" outlineLevel="0" collapsed="false">
      <c r="A97" s="25" t="n">
        <v>9300</v>
      </c>
      <c r="B97" s="5" t="n">
        <v>219</v>
      </c>
      <c r="C97" s="5" t="s">
        <v>115</v>
      </c>
      <c r="D97" s="5" t="s">
        <v>115</v>
      </c>
      <c r="E97" s="25" t="n">
        <v>9434400</v>
      </c>
    </row>
    <row r="98" customFormat="false" ht="15" hidden="false" customHeight="false" outlineLevel="0" collapsed="false">
      <c r="A98" s="25" t="n">
        <v>9400</v>
      </c>
      <c r="B98" s="5" t="n">
        <v>218</v>
      </c>
      <c r="C98" s="5" t="s">
        <v>115</v>
      </c>
      <c r="D98" s="5" t="s">
        <v>115</v>
      </c>
      <c r="E98" s="25" t="n">
        <v>9476800</v>
      </c>
    </row>
    <row r="99" customFormat="false" ht="15" hidden="false" customHeight="false" outlineLevel="0" collapsed="false">
      <c r="A99" s="25" t="n">
        <v>9500</v>
      </c>
      <c r="B99" s="5" t="n">
        <v>216</v>
      </c>
      <c r="C99" s="5" t="s">
        <v>115</v>
      </c>
      <c r="D99" s="5" t="s">
        <v>115</v>
      </c>
      <c r="E99" s="25" t="n">
        <v>9501600</v>
      </c>
    </row>
    <row r="100" customFormat="false" ht="15" hidden="false" customHeight="false" outlineLevel="0" collapsed="false">
      <c r="A100" s="26" t="n">
        <v>9559</v>
      </c>
      <c r="B100" s="27" t="n">
        <v>215</v>
      </c>
      <c r="C100" s="27" t="s">
        <v>116</v>
      </c>
      <c r="D100" s="27" t="s">
        <v>116</v>
      </c>
      <c r="E100" s="26" t="n">
        <v>9519400</v>
      </c>
    </row>
    <row r="101" customFormat="false" ht="15" hidden="false" customHeight="false" outlineLevel="0" collapsed="false">
      <c r="A101" s="25" t="n">
        <v>9600</v>
      </c>
      <c r="B101" s="5" t="n">
        <v>215</v>
      </c>
      <c r="C101" s="5" t="s">
        <v>116</v>
      </c>
      <c r="D101" s="5" t="s">
        <v>116</v>
      </c>
      <c r="E101" s="25" t="n">
        <v>9544000</v>
      </c>
    </row>
    <row r="102" customFormat="false" ht="15" hidden="false" customHeight="false" outlineLevel="0" collapsed="false">
      <c r="A102" s="25" t="n">
        <v>9700</v>
      </c>
      <c r="B102" s="5" t="n">
        <v>214</v>
      </c>
      <c r="C102" s="5" t="s">
        <v>116</v>
      </c>
      <c r="D102" s="5" t="s">
        <v>116</v>
      </c>
      <c r="E102" s="25" t="n">
        <v>9586400</v>
      </c>
    </row>
    <row r="103" customFormat="false" ht="15" hidden="false" customHeight="false" outlineLevel="0" collapsed="false">
      <c r="A103" s="25" t="n">
        <v>9800</v>
      </c>
      <c r="B103" s="5" t="n">
        <v>212</v>
      </c>
      <c r="C103" s="5" t="s">
        <v>116</v>
      </c>
      <c r="D103" s="5" t="s">
        <v>116</v>
      </c>
      <c r="E103" s="25" t="n">
        <v>9611200</v>
      </c>
    </row>
    <row r="104" customFormat="false" ht="15" hidden="false" customHeight="false" outlineLevel="0" collapsed="false">
      <c r="A104" s="25" t="n">
        <v>9900</v>
      </c>
      <c r="B104" s="5" t="n">
        <v>211</v>
      </c>
      <c r="C104" s="5" t="s">
        <v>116</v>
      </c>
      <c r="D104" s="5" t="s">
        <v>116</v>
      </c>
      <c r="E104" s="25" t="n">
        <v>9653600</v>
      </c>
    </row>
    <row r="105" customFormat="false" ht="15" hidden="false" customHeight="false" outlineLevel="0" collapsed="false">
      <c r="A105" s="25" t="n">
        <v>10000</v>
      </c>
      <c r="B105" s="5" t="n">
        <v>210</v>
      </c>
      <c r="C105" s="5" t="s">
        <v>116</v>
      </c>
      <c r="D105" s="5" t="s">
        <v>116</v>
      </c>
      <c r="E105" s="25" t="n">
        <v>9696000</v>
      </c>
    </row>
    <row r="106" customFormat="false" ht="15" hidden="false" customHeight="false" outlineLevel="0" collapsed="false">
      <c r="A106" s="25" t="n">
        <v>10100</v>
      </c>
      <c r="B106" s="5" t="n">
        <v>208</v>
      </c>
      <c r="C106" s="5" t="s">
        <v>116</v>
      </c>
      <c r="D106" s="5" t="s">
        <v>116</v>
      </c>
      <c r="E106" s="25" t="n">
        <v>9720800</v>
      </c>
    </row>
    <row r="107" customFormat="false" ht="15" hidden="false" customHeight="false" outlineLevel="0" collapsed="false">
      <c r="A107" s="25" t="n">
        <v>10200</v>
      </c>
      <c r="B107" s="5" t="n">
        <v>207</v>
      </c>
      <c r="C107" s="5" t="s">
        <v>116</v>
      </c>
      <c r="D107" s="5" t="s">
        <v>116</v>
      </c>
      <c r="E107" s="25" t="n">
        <v>9763200</v>
      </c>
    </row>
    <row r="108" customFormat="false" ht="15" hidden="false" customHeight="false" outlineLevel="0" collapsed="false">
      <c r="A108" s="25" t="n">
        <v>10300</v>
      </c>
      <c r="B108" s="5" t="n">
        <v>207</v>
      </c>
      <c r="C108" s="5" t="s">
        <v>116</v>
      </c>
      <c r="D108" s="5" t="s">
        <v>116</v>
      </c>
      <c r="E108" s="25" t="n">
        <v>9823200</v>
      </c>
    </row>
    <row r="109" customFormat="false" ht="15" hidden="false" customHeight="false" outlineLevel="0" collapsed="false">
      <c r="A109" s="25" t="n">
        <v>10400</v>
      </c>
      <c r="B109" s="5" t="n">
        <v>209</v>
      </c>
      <c r="C109" s="5" t="s">
        <v>116</v>
      </c>
      <c r="D109" s="5" t="s">
        <v>116</v>
      </c>
      <c r="E109" s="25" t="n">
        <v>9918400</v>
      </c>
    </row>
    <row r="110" customFormat="false" ht="15" hidden="false" customHeight="false" outlineLevel="0" collapsed="false">
      <c r="A110" s="25" t="n">
        <v>10500</v>
      </c>
      <c r="B110" s="5" t="n">
        <v>211</v>
      </c>
      <c r="C110" s="5" t="s">
        <v>116</v>
      </c>
      <c r="D110" s="5" t="s">
        <v>116</v>
      </c>
      <c r="E110" s="25" t="n">
        <v>10013600</v>
      </c>
    </row>
    <row r="111" customFormat="false" ht="15" hidden="false" customHeight="false" outlineLevel="0" collapsed="false">
      <c r="A111" s="25" t="n">
        <v>10600</v>
      </c>
      <c r="B111" s="5" t="n">
        <v>213</v>
      </c>
      <c r="C111" s="5" t="s">
        <v>116</v>
      </c>
      <c r="D111" s="5" t="s">
        <v>116</v>
      </c>
      <c r="E111" s="25" t="n">
        <v>10108800</v>
      </c>
    </row>
    <row r="112" customFormat="false" ht="15" hidden="false" customHeight="false" outlineLevel="0" collapsed="false">
      <c r="A112" s="25" t="n">
        <v>10700</v>
      </c>
      <c r="B112" s="5" t="n">
        <v>215</v>
      </c>
      <c r="C112" s="5" t="s">
        <v>116</v>
      </c>
      <c r="D112" s="5" t="s">
        <v>116</v>
      </c>
      <c r="E112" s="25" t="n">
        <v>10204000</v>
      </c>
    </row>
    <row r="113" customFormat="false" ht="15" hidden="false" customHeight="false" outlineLevel="0" collapsed="false">
      <c r="A113" s="25" t="n">
        <v>10800</v>
      </c>
      <c r="B113" s="5" t="n">
        <v>217</v>
      </c>
      <c r="C113" s="5" t="s">
        <v>116</v>
      </c>
      <c r="D113" s="5" t="s">
        <v>116</v>
      </c>
      <c r="E113" s="25" t="n">
        <v>10299200</v>
      </c>
    </row>
    <row r="114" customFormat="false" ht="15" hidden="false" customHeight="false" outlineLevel="0" collapsed="false">
      <c r="A114" s="25" t="n">
        <v>10900</v>
      </c>
      <c r="B114" s="5" t="n">
        <v>219</v>
      </c>
      <c r="C114" s="5" t="s">
        <v>116</v>
      </c>
      <c r="D114" s="5" t="s">
        <v>116</v>
      </c>
      <c r="E114" s="25" t="n">
        <v>10394400</v>
      </c>
    </row>
    <row r="115" customFormat="false" ht="15" hidden="false" customHeight="false" outlineLevel="0" collapsed="false">
      <c r="A115" s="25" t="n">
        <v>11000</v>
      </c>
      <c r="B115" s="5" t="n">
        <v>221</v>
      </c>
      <c r="C115" s="5" t="s">
        <v>116</v>
      </c>
      <c r="D115" s="5" t="s">
        <v>116</v>
      </c>
      <c r="E115" s="25" t="n">
        <v>10489600</v>
      </c>
    </row>
    <row r="116" customFormat="false" ht="15" hidden="false" customHeight="false" outlineLevel="0" collapsed="false">
      <c r="A116" s="25" t="n">
        <v>11100</v>
      </c>
      <c r="B116" s="5" t="n">
        <v>223</v>
      </c>
      <c r="C116" s="5" t="s">
        <v>116</v>
      </c>
      <c r="D116" s="5" t="s">
        <v>116</v>
      </c>
      <c r="E116" s="25" t="n">
        <v>10584800</v>
      </c>
    </row>
    <row r="117" customFormat="false" ht="15" hidden="false" customHeight="false" outlineLevel="0" collapsed="false">
      <c r="A117" s="25" t="n">
        <v>11200</v>
      </c>
      <c r="B117" s="5" t="n">
        <v>225</v>
      </c>
      <c r="C117" s="5" t="s">
        <v>116</v>
      </c>
      <c r="D117" s="5" t="s">
        <v>116</v>
      </c>
      <c r="E117" s="25" t="n">
        <v>10680000</v>
      </c>
    </row>
    <row r="118" customFormat="false" ht="15" hidden="false" customHeight="false" outlineLevel="0" collapsed="false">
      <c r="A118" s="25" t="n">
        <v>11300</v>
      </c>
      <c r="B118" s="5" t="n">
        <v>227</v>
      </c>
      <c r="C118" s="5" t="s">
        <v>116</v>
      </c>
      <c r="D118" s="5" t="s">
        <v>116</v>
      </c>
      <c r="E118" s="25" t="n">
        <v>10775200</v>
      </c>
    </row>
    <row r="119" customFormat="false" ht="15" hidden="false" customHeight="false" outlineLevel="0" collapsed="false">
      <c r="A119" s="25" t="n">
        <v>11400</v>
      </c>
      <c r="B119" s="5" t="n">
        <v>229</v>
      </c>
      <c r="C119" s="5" t="s">
        <v>116</v>
      </c>
      <c r="D119" s="5" t="s">
        <v>116</v>
      </c>
      <c r="E119" s="25" t="n">
        <v>10870400</v>
      </c>
    </row>
    <row r="120" customFormat="false" ht="15" hidden="false" customHeight="false" outlineLevel="0" collapsed="false">
      <c r="A120" s="25" t="n">
        <v>11500</v>
      </c>
      <c r="B120" s="5" t="n">
        <v>231</v>
      </c>
      <c r="C120" s="5" t="s">
        <v>116</v>
      </c>
      <c r="D120" s="5" t="s">
        <v>116</v>
      </c>
      <c r="E120" s="25" t="n">
        <v>10965600</v>
      </c>
    </row>
    <row r="121" customFormat="false" ht="15" hidden="false" customHeight="false" outlineLevel="0" collapsed="false">
      <c r="A121" s="25" t="n">
        <v>11600</v>
      </c>
      <c r="B121" s="5" t="n">
        <v>233</v>
      </c>
      <c r="C121" s="5" t="s">
        <v>116</v>
      </c>
      <c r="D121" s="5" t="s">
        <v>116</v>
      </c>
      <c r="E121" s="25" t="n">
        <v>11060800</v>
      </c>
    </row>
    <row r="122" customFormat="false" ht="15" hidden="false" customHeight="false" outlineLevel="0" collapsed="false">
      <c r="A122" s="25" t="n">
        <v>11700</v>
      </c>
      <c r="B122" s="5" t="n">
        <v>235</v>
      </c>
      <c r="C122" s="5" t="s">
        <v>116</v>
      </c>
      <c r="D122" s="5" t="s">
        <v>116</v>
      </c>
      <c r="E122" s="25" t="n">
        <v>11156000</v>
      </c>
    </row>
    <row r="123" customFormat="false" ht="15" hidden="false" customHeight="false" outlineLevel="0" collapsed="false">
      <c r="A123" s="25" t="n">
        <v>11800</v>
      </c>
      <c r="B123" s="5" t="n">
        <v>237</v>
      </c>
      <c r="C123" s="5" t="s">
        <v>116</v>
      </c>
      <c r="D123" s="5" t="s">
        <v>116</v>
      </c>
      <c r="E123" s="25" t="n">
        <v>11251200</v>
      </c>
    </row>
    <row r="124" customFormat="false" ht="15" hidden="false" customHeight="false" outlineLevel="0" collapsed="false">
      <c r="A124" s="25" t="n">
        <v>11900</v>
      </c>
      <c r="B124" s="5" t="n">
        <v>239</v>
      </c>
      <c r="C124" s="5" t="s">
        <v>116</v>
      </c>
      <c r="D124" s="5" t="s">
        <v>116</v>
      </c>
      <c r="E124" s="25" t="n">
        <v>11346400</v>
      </c>
    </row>
    <row r="125" customFormat="false" ht="15" hidden="false" customHeight="false" outlineLevel="0" collapsed="false">
      <c r="A125" s="25" t="n">
        <v>12000</v>
      </c>
      <c r="B125" s="5" t="n">
        <v>241</v>
      </c>
      <c r="C125" s="5" t="s">
        <v>116</v>
      </c>
      <c r="D125" s="5" t="s">
        <v>116</v>
      </c>
      <c r="E125" s="25" t="n">
        <v>11441600</v>
      </c>
    </row>
    <row r="126" customFormat="false" ht="15" hidden="false" customHeight="false" outlineLevel="0" collapsed="false">
      <c r="A126" s="25" t="n">
        <v>12100</v>
      </c>
      <c r="B126" s="5" t="n">
        <v>243</v>
      </c>
      <c r="C126" s="5" t="s">
        <v>116</v>
      </c>
      <c r="D126" s="5" t="s">
        <v>116</v>
      </c>
      <c r="E126" s="25" t="n">
        <v>11536800</v>
      </c>
    </row>
    <row r="127" customFormat="false" ht="15" hidden="false" customHeight="false" outlineLevel="0" collapsed="false">
      <c r="A127" s="25" t="n">
        <v>12200</v>
      </c>
      <c r="B127" s="5" t="n">
        <v>245</v>
      </c>
      <c r="C127" s="5" t="s">
        <v>116</v>
      </c>
      <c r="D127" s="5" t="s">
        <v>116</v>
      </c>
      <c r="E127" s="25" t="n">
        <v>11632000</v>
      </c>
    </row>
    <row r="128" customFormat="false" ht="15" hidden="false" customHeight="false" outlineLevel="0" collapsed="false">
      <c r="A128" s="25" t="n">
        <v>12300</v>
      </c>
      <c r="B128" s="5" t="n">
        <v>247</v>
      </c>
      <c r="C128" s="5" t="s">
        <v>116</v>
      </c>
      <c r="D128" s="5" t="s">
        <v>116</v>
      </c>
      <c r="E128" s="25" t="n">
        <v>11727200</v>
      </c>
    </row>
    <row r="129" customFormat="false" ht="15" hidden="false" customHeight="false" outlineLevel="0" collapsed="false">
      <c r="A129" s="25" t="n">
        <v>12400</v>
      </c>
      <c r="B129" s="5" t="n">
        <v>249</v>
      </c>
      <c r="C129" s="5" t="s">
        <v>116</v>
      </c>
      <c r="D129" s="5" t="s">
        <v>116</v>
      </c>
      <c r="E129" s="25" t="n">
        <v>11822400</v>
      </c>
    </row>
    <row r="130" customFormat="false" ht="15" hidden="false" customHeight="false" outlineLevel="0" collapsed="false">
      <c r="A130" s="25" t="n">
        <v>12500</v>
      </c>
      <c r="B130" s="5" t="n">
        <v>251</v>
      </c>
      <c r="C130" s="5" t="s">
        <v>116</v>
      </c>
      <c r="D130" s="5" t="s">
        <v>116</v>
      </c>
      <c r="E130" s="25" t="n">
        <v>11917600</v>
      </c>
    </row>
    <row r="131" customFormat="false" ht="15" hidden="false" customHeight="false" outlineLevel="0" collapsed="false">
      <c r="A131" s="25" t="n">
        <v>12600</v>
      </c>
      <c r="B131" s="5" t="n">
        <v>253</v>
      </c>
      <c r="C131" s="5" t="s">
        <v>116</v>
      </c>
      <c r="D131" s="5" t="s">
        <v>116</v>
      </c>
      <c r="E131" s="25" t="n">
        <v>12012800</v>
      </c>
    </row>
    <row r="132" customFormat="false" ht="15" hidden="false" customHeight="false" outlineLevel="0" collapsed="false">
      <c r="A132" s="25" t="n">
        <v>12700</v>
      </c>
      <c r="B132" s="5" t="n">
        <v>255</v>
      </c>
      <c r="C132" s="5" t="s">
        <v>116</v>
      </c>
      <c r="D132" s="5" t="s">
        <v>116</v>
      </c>
      <c r="E132" s="25" t="n">
        <v>12108000</v>
      </c>
    </row>
    <row r="133" customFormat="false" ht="15" hidden="false" customHeight="false" outlineLevel="0" collapsed="false">
      <c r="A133" s="25" t="n">
        <v>12800</v>
      </c>
      <c r="B133" s="5" t="n">
        <v>257</v>
      </c>
      <c r="C133" s="5" t="s">
        <v>116</v>
      </c>
      <c r="D133" s="5" t="s">
        <v>116</v>
      </c>
      <c r="E133" s="25" t="n">
        <v>12203200</v>
      </c>
    </row>
    <row r="134" customFormat="false" ht="15" hidden="false" customHeight="false" outlineLevel="0" collapsed="false">
      <c r="A134" s="25" t="n">
        <v>12900</v>
      </c>
      <c r="B134" s="5" t="n">
        <v>259</v>
      </c>
      <c r="C134" s="5" t="s">
        <v>116</v>
      </c>
      <c r="D134" s="5" t="s">
        <v>116</v>
      </c>
      <c r="E134" s="25" t="n">
        <v>12298400</v>
      </c>
    </row>
    <row r="135" customFormat="false" ht="15" hidden="false" customHeight="false" outlineLevel="0" collapsed="false">
      <c r="A135" s="25" t="n">
        <v>13000</v>
      </c>
      <c r="B135" s="5" t="n">
        <v>261</v>
      </c>
      <c r="C135" s="5" t="s">
        <v>116</v>
      </c>
      <c r="D135" s="5" t="s">
        <v>116</v>
      </c>
      <c r="E135" s="25" t="n">
        <v>12393600</v>
      </c>
    </row>
    <row r="136" customFormat="false" ht="15" hidden="false" customHeight="false" outlineLevel="0" collapsed="false">
      <c r="A136" s="25" t="n">
        <v>13100</v>
      </c>
      <c r="B136" s="5" t="n">
        <v>263</v>
      </c>
      <c r="C136" s="5" t="s">
        <v>116</v>
      </c>
      <c r="D136" s="5" t="s">
        <v>116</v>
      </c>
      <c r="E136" s="25" t="n">
        <v>12488800</v>
      </c>
    </row>
    <row r="137" customFormat="false" ht="15" hidden="false" customHeight="false" outlineLevel="0" collapsed="false">
      <c r="A137" s="25" t="n">
        <v>13200</v>
      </c>
      <c r="B137" s="5" t="n">
        <v>265</v>
      </c>
      <c r="C137" s="5" t="s">
        <v>116</v>
      </c>
      <c r="D137" s="5" t="s">
        <v>116</v>
      </c>
      <c r="E137" s="25" t="n">
        <v>12584000</v>
      </c>
    </row>
    <row r="138" customFormat="false" ht="15" hidden="false" customHeight="false" outlineLevel="0" collapsed="false">
      <c r="A138" s="25" t="n">
        <v>13300</v>
      </c>
      <c r="B138" s="5" t="n">
        <v>267</v>
      </c>
      <c r="C138" s="5" t="s">
        <v>116</v>
      </c>
      <c r="D138" s="5" t="s">
        <v>116</v>
      </c>
      <c r="E138" s="25" t="n">
        <v>12679200</v>
      </c>
    </row>
    <row r="139" customFormat="false" ht="15" hidden="false" customHeight="false" outlineLevel="0" collapsed="false">
      <c r="A139" s="25" t="n">
        <v>13400</v>
      </c>
      <c r="B139" s="5" t="n">
        <v>269</v>
      </c>
      <c r="C139" s="5" t="s">
        <v>116</v>
      </c>
      <c r="D139" s="5" t="s">
        <v>116</v>
      </c>
      <c r="E139" s="25" t="n">
        <v>12774400</v>
      </c>
    </row>
    <row r="140" customFormat="false" ht="15" hidden="false" customHeight="false" outlineLevel="0" collapsed="false">
      <c r="A140" s="25" t="n">
        <v>13500</v>
      </c>
      <c r="B140" s="5" t="n">
        <v>271</v>
      </c>
      <c r="C140" s="5" t="s">
        <v>116</v>
      </c>
      <c r="D140" s="5" t="s">
        <v>116</v>
      </c>
      <c r="E140" s="25" t="n">
        <v>12869600</v>
      </c>
    </row>
    <row r="141" customFormat="false" ht="15" hidden="false" customHeight="false" outlineLevel="0" collapsed="false">
      <c r="A141" s="25" t="n">
        <v>13600</v>
      </c>
      <c r="B141" s="5" t="n">
        <v>273</v>
      </c>
      <c r="C141" s="5" t="s">
        <v>116</v>
      </c>
      <c r="D141" s="5" t="s">
        <v>116</v>
      </c>
      <c r="E141" s="25" t="n">
        <v>12964800</v>
      </c>
    </row>
    <row r="142" customFormat="false" ht="15" hidden="false" customHeight="false" outlineLevel="0" collapsed="false">
      <c r="A142" s="25" t="n">
        <v>13700</v>
      </c>
      <c r="B142" s="5" t="n">
        <v>275</v>
      </c>
      <c r="C142" s="5" t="s">
        <v>116</v>
      </c>
      <c r="D142" s="5" t="s">
        <v>116</v>
      </c>
      <c r="E142" s="25" t="n">
        <v>13060000</v>
      </c>
    </row>
    <row r="143" customFormat="false" ht="15" hidden="false" customHeight="false" outlineLevel="0" collapsed="false">
      <c r="A143" s="25" t="n">
        <v>13800</v>
      </c>
      <c r="B143" s="5" t="n">
        <v>277</v>
      </c>
      <c r="C143" s="5" t="s">
        <v>116</v>
      </c>
      <c r="D143" s="5" t="s">
        <v>116</v>
      </c>
      <c r="E143" s="25" t="n">
        <v>13155200</v>
      </c>
    </row>
    <row r="144" customFormat="false" ht="15" hidden="false" customHeight="false" outlineLevel="0" collapsed="false">
      <c r="A144" s="25" t="n">
        <v>13900</v>
      </c>
      <c r="B144" s="5" t="n">
        <v>279</v>
      </c>
      <c r="C144" s="5" t="s">
        <v>116</v>
      </c>
      <c r="D144" s="5" t="s">
        <v>116</v>
      </c>
      <c r="E144" s="25" t="n">
        <v>13250400</v>
      </c>
    </row>
    <row r="145" customFormat="false" ht="15" hidden="false" customHeight="false" outlineLevel="0" collapsed="false">
      <c r="A145" s="25" t="n">
        <v>14000</v>
      </c>
      <c r="B145" s="5" t="n">
        <v>281</v>
      </c>
      <c r="C145" s="5" t="s">
        <v>116</v>
      </c>
      <c r="D145" s="5" t="s">
        <v>116</v>
      </c>
      <c r="E145" s="25" t="n">
        <v>13345600</v>
      </c>
    </row>
    <row r="146" customFormat="false" ht="15" hidden="false" customHeight="false" outlineLevel="0" collapsed="false">
      <c r="A146" s="25" t="n">
        <v>14100</v>
      </c>
      <c r="B146" s="5" t="n">
        <v>283</v>
      </c>
      <c r="C146" s="5" t="s">
        <v>116</v>
      </c>
      <c r="D146" s="5" t="s">
        <v>116</v>
      </c>
      <c r="E146" s="25" t="n">
        <v>13440800</v>
      </c>
    </row>
    <row r="147" customFormat="false" ht="15" hidden="false" customHeight="false" outlineLevel="0" collapsed="false">
      <c r="A147" s="25" t="n">
        <v>14200</v>
      </c>
      <c r="B147" s="5" t="n">
        <v>285</v>
      </c>
      <c r="C147" s="5" t="s">
        <v>116</v>
      </c>
      <c r="D147" s="5" t="s">
        <v>116</v>
      </c>
      <c r="E147" s="25" t="n">
        <v>13536000</v>
      </c>
    </row>
    <row r="148" customFormat="false" ht="15" hidden="false" customHeight="false" outlineLevel="0" collapsed="false">
      <c r="A148" s="25" t="n">
        <v>14300</v>
      </c>
      <c r="B148" s="5" t="n">
        <v>287</v>
      </c>
      <c r="C148" s="5" t="s">
        <v>116</v>
      </c>
      <c r="D148" s="5" t="s">
        <v>116</v>
      </c>
      <c r="E148" s="25" t="n">
        <v>13631200</v>
      </c>
    </row>
    <row r="149" customFormat="false" ht="15" hidden="false" customHeight="false" outlineLevel="0" collapsed="false">
      <c r="A149" s="25" t="n">
        <v>14400</v>
      </c>
      <c r="B149" s="5" t="n">
        <v>289</v>
      </c>
      <c r="C149" s="5" t="s">
        <v>116</v>
      </c>
      <c r="D149" s="5" t="s">
        <v>116</v>
      </c>
      <c r="E149" s="25" t="n">
        <v>13726400</v>
      </c>
    </row>
    <row r="150" customFormat="false" ht="15" hidden="false" customHeight="false" outlineLevel="0" collapsed="false">
      <c r="A150" s="25" t="n">
        <v>14500</v>
      </c>
      <c r="B150" s="5" t="n">
        <v>291</v>
      </c>
      <c r="C150" s="5" t="s">
        <v>116</v>
      </c>
      <c r="D150" s="5" t="s">
        <v>116</v>
      </c>
      <c r="E150" s="25" t="n">
        <v>13821600</v>
      </c>
    </row>
    <row r="151" customFormat="false" ht="15" hidden="false" customHeight="false" outlineLevel="0" collapsed="false">
      <c r="A151" s="25" t="n">
        <v>14600</v>
      </c>
      <c r="B151" s="5" t="n">
        <v>293</v>
      </c>
      <c r="C151" s="5" t="s">
        <v>116</v>
      </c>
      <c r="D151" s="5" t="s">
        <v>116</v>
      </c>
      <c r="E151" s="25" t="n">
        <v>13916800</v>
      </c>
    </row>
    <row r="152" customFormat="false" ht="15" hidden="false" customHeight="false" outlineLevel="0" collapsed="false">
      <c r="A152" s="25" t="n">
        <v>14700</v>
      </c>
      <c r="B152" s="5" t="n">
        <v>295</v>
      </c>
      <c r="C152" s="5" t="s">
        <v>116</v>
      </c>
      <c r="D152" s="5" t="s">
        <v>116</v>
      </c>
      <c r="E152" s="25" t="n">
        <v>14012000</v>
      </c>
    </row>
    <row r="153" customFormat="false" ht="15" hidden="false" customHeight="false" outlineLevel="0" collapsed="false">
      <c r="A153" s="25" t="n">
        <v>14800</v>
      </c>
      <c r="B153" s="5" t="n">
        <v>297</v>
      </c>
      <c r="C153" s="5" t="s">
        <v>116</v>
      </c>
      <c r="D153" s="5" t="s">
        <v>116</v>
      </c>
      <c r="E153" s="25" t="n">
        <v>14107200</v>
      </c>
    </row>
    <row r="154" customFormat="false" ht="15" hidden="false" customHeight="false" outlineLevel="0" collapsed="false">
      <c r="A154" s="25" t="n">
        <v>14900</v>
      </c>
      <c r="B154" s="5" t="n">
        <v>299</v>
      </c>
      <c r="C154" s="5" t="s">
        <v>116</v>
      </c>
      <c r="D154" s="5" t="s">
        <v>116</v>
      </c>
      <c r="E154" s="25" t="n">
        <v>14202400</v>
      </c>
    </row>
    <row r="155" customFormat="false" ht="15" hidden="false" customHeight="false" outlineLevel="0" collapsed="false">
      <c r="A155" s="25" t="n">
        <v>15000</v>
      </c>
      <c r="B155" s="5" t="n">
        <v>301</v>
      </c>
      <c r="C155" s="5" t="s">
        <v>116</v>
      </c>
      <c r="D155" s="5" t="s">
        <v>116</v>
      </c>
      <c r="E155" s="25" t="n">
        <v>14297600</v>
      </c>
    </row>
    <row r="156" customFormat="false" ht="15" hidden="false" customHeight="false" outlineLevel="0" collapsed="false">
      <c r="A156" s="25" t="n">
        <v>15100</v>
      </c>
      <c r="B156" s="5" t="n">
        <v>303</v>
      </c>
      <c r="C156" s="5" t="s">
        <v>116</v>
      </c>
      <c r="D156" s="5" t="s">
        <v>116</v>
      </c>
      <c r="E156" s="25" t="n">
        <v>14392800</v>
      </c>
    </row>
    <row r="157" customFormat="false" ht="15" hidden="false" customHeight="false" outlineLevel="0" collapsed="false">
      <c r="A157" s="25" t="n">
        <v>15200</v>
      </c>
      <c r="B157" s="5" t="n">
        <v>305</v>
      </c>
      <c r="C157" s="5" t="s">
        <v>116</v>
      </c>
      <c r="D157" s="5" t="s">
        <v>116</v>
      </c>
      <c r="E157" s="25" t="n">
        <v>14488000</v>
      </c>
    </row>
    <row r="158" customFormat="false" ht="15" hidden="false" customHeight="false" outlineLevel="0" collapsed="false">
      <c r="A158" s="25" t="n">
        <v>15300</v>
      </c>
      <c r="B158" s="5" t="n">
        <v>307</v>
      </c>
      <c r="C158" s="5" t="s">
        <v>116</v>
      </c>
      <c r="D158" s="5" t="s">
        <v>116</v>
      </c>
      <c r="E158" s="25" t="n">
        <v>14583200</v>
      </c>
    </row>
    <row r="159" customFormat="false" ht="15" hidden="false" customHeight="false" outlineLevel="0" collapsed="false">
      <c r="A159" s="25" t="n">
        <v>15400</v>
      </c>
      <c r="B159" s="5" t="n">
        <v>309</v>
      </c>
      <c r="C159" s="5" t="s">
        <v>116</v>
      </c>
      <c r="D159" s="5" t="s">
        <v>116</v>
      </c>
      <c r="E159" s="25" t="n">
        <v>14678400</v>
      </c>
    </row>
    <row r="160" customFormat="false" ht="15" hidden="false" customHeight="false" outlineLevel="0" collapsed="false">
      <c r="A160" s="25" t="n">
        <v>15500</v>
      </c>
      <c r="B160" s="5" t="n">
        <v>311</v>
      </c>
      <c r="C160" s="5" t="s">
        <v>116</v>
      </c>
      <c r="D160" s="5" t="s">
        <v>116</v>
      </c>
      <c r="E160" s="25" t="n">
        <v>14773600</v>
      </c>
    </row>
    <row r="161" customFormat="false" ht="15" hidden="false" customHeight="false" outlineLevel="0" collapsed="false">
      <c r="A161" s="25" t="n">
        <v>15600</v>
      </c>
      <c r="B161" s="5" t="n">
        <v>313</v>
      </c>
      <c r="C161" s="5" t="s">
        <v>116</v>
      </c>
      <c r="D161" s="5" t="s">
        <v>116</v>
      </c>
      <c r="E161" s="25" t="n">
        <v>14868800</v>
      </c>
    </row>
    <row r="162" customFormat="false" ht="15" hidden="false" customHeight="false" outlineLevel="0" collapsed="false">
      <c r="A162" s="25" t="n">
        <v>15700</v>
      </c>
      <c r="B162" s="5" t="n">
        <v>315</v>
      </c>
      <c r="C162" s="5" t="s">
        <v>116</v>
      </c>
      <c r="D162" s="5" t="s">
        <v>116</v>
      </c>
      <c r="E162" s="25" t="n">
        <v>14964000</v>
      </c>
    </row>
    <row r="163" customFormat="false" ht="15" hidden="false" customHeight="false" outlineLevel="0" collapsed="false">
      <c r="A163" s="25" t="n">
        <v>15800</v>
      </c>
      <c r="B163" s="5" t="n">
        <v>317</v>
      </c>
      <c r="C163" s="5" t="s">
        <v>116</v>
      </c>
      <c r="D163" s="5" t="s">
        <v>116</v>
      </c>
      <c r="E163" s="25" t="n">
        <v>15059200</v>
      </c>
    </row>
    <row r="164" customFormat="false" ht="15" hidden="false" customHeight="false" outlineLevel="0" collapsed="false">
      <c r="A164" s="25" t="n">
        <v>15900</v>
      </c>
      <c r="B164" s="5" t="n">
        <v>319</v>
      </c>
      <c r="C164" s="5" t="s">
        <v>116</v>
      </c>
      <c r="D164" s="5" t="s">
        <v>116</v>
      </c>
      <c r="E164" s="25" t="n">
        <v>15154400</v>
      </c>
    </row>
    <row r="165" customFormat="false" ht="15" hidden="false" customHeight="false" outlineLevel="0" collapsed="false">
      <c r="A165" s="25" t="n">
        <v>16000</v>
      </c>
      <c r="B165" s="5" t="n">
        <v>321</v>
      </c>
      <c r="C165" s="5" t="s">
        <v>116</v>
      </c>
      <c r="D165" s="5" t="s">
        <v>116</v>
      </c>
      <c r="E165" s="25" t="n">
        <v>15249600</v>
      </c>
    </row>
    <row r="166" customFormat="false" ht="15" hidden="false" customHeight="false" outlineLevel="0" collapsed="false">
      <c r="A166" s="25" t="n">
        <v>16100</v>
      </c>
      <c r="B166" s="5" t="n">
        <v>323</v>
      </c>
      <c r="C166" s="5" t="s">
        <v>116</v>
      </c>
      <c r="D166" s="5" t="s">
        <v>116</v>
      </c>
      <c r="E166" s="25" t="n">
        <v>15344800</v>
      </c>
    </row>
    <row r="167" customFormat="false" ht="15" hidden="false" customHeight="false" outlineLevel="0" collapsed="false">
      <c r="A167" s="25" t="n">
        <v>16200</v>
      </c>
      <c r="B167" s="5" t="n">
        <v>325</v>
      </c>
      <c r="C167" s="5" t="s">
        <v>116</v>
      </c>
      <c r="D167" s="5" t="s">
        <v>116</v>
      </c>
      <c r="E167" s="25" t="n">
        <v>15440000</v>
      </c>
    </row>
    <row r="168" customFormat="false" ht="15" hidden="false" customHeight="false" outlineLevel="0" collapsed="false">
      <c r="A168" s="25" t="n">
        <v>16300</v>
      </c>
      <c r="B168" s="5" t="n">
        <v>327</v>
      </c>
      <c r="C168" s="5" t="s">
        <v>116</v>
      </c>
      <c r="D168" s="5" t="s">
        <v>116</v>
      </c>
      <c r="E168" s="25" t="n">
        <v>15535200</v>
      </c>
    </row>
    <row r="169" customFormat="false" ht="15" hidden="false" customHeight="false" outlineLevel="0" collapsed="false">
      <c r="A169" s="25" t="n">
        <v>16400</v>
      </c>
      <c r="B169" s="5" t="n">
        <v>329</v>
      </c>
      <c r="C169" s="5" t="s">
        <v>116</v>
      </c>
      <c r="D169" s="5" t="s">
        <v>116</v>
      </c>
      <c r="E169" s="25" t="n">
        <v>15630400</v>
      </c>
    </row>
    <row r="170" customFormat="false" ht="15" hidden="false" customHeight="false" outlineLevel="0" collapsed="false">
      <c r="A170" s="25" t="n">
        <v>16500</v>
      </c>
      <c r="B170" s="5" t="n">
        <v>331</v>
      </c>
      <c r="C170" s="5" t="s">
        <v>116</v>
      </c>
      <c r="D170" s="5" t="s">
        <v>116</v>
      </c>
      <c r="E170" s="25" t="n">
        <v>15725600</v>
      </c>
    </row>
    <row r="171" customFormat="false" ht="15" hidden="false" customHeight="false" outlineLevel="0" collapsed="false">
      <c r="A171" s="25" t="n">
        <v>16600</v>
      </c>
      <c r="B171" s="5" t="n">
        <v>333</v>
      </c>
      <c r="C171" s="5" t="s">
        <v>116</v>
      </c>
      <c r="D171" s="5" t="s">
        <v>116</v>
      </c>
      <c r="E171" s="25" t="n">
        <v>15820800</v>
      </c>
    </row>
    <row r="172" customFormat="false" ht="15" hidden="false" customHeight="false" outlineLevel="0" collapsed="false">
      <c r="A172" s="25" t="n">
        <v>16700</v>
      </c>
      <c r="B172" s="5" t="n">
        <v>335</v>
      </c>
      <c r="C172" s="5" t="s">
        <v>116</v>
      </c>
      <c r="D172" s="5" t="s">
        <v>116</v>
      </c>
      <c r="E172" s="25" t="n">
        <v>15916000</v>
      </c>
    </row>
    <row r="173" customFormat="false" ht="15" hidden="false" customHeight="false" outlineLevel="0" collapsed="false">
      <c r="A173" s="25" t="n">
        <v>16800</v>
      </c>
      <c r="B173" s="5" t="n">
        <v>337</v>
      </c>
      <c r="C173" s="5" t="s">
        <v>116</v>
      </c>
      <c r="D173" s="5" t="s">
        <v>116</v>
      </c>
      <c r="E173" s="25" t="n">
        <v>16011200</v>
      </c>
    </row>
    <row r="174" customFormat="false" ht="15" hidden="false" customHeight="false" outlineLevel="0" collapsed="false">
      <c r="A174" s="25" t="n">
        <v>16900</v>
      </c>
      <c r="B174" s="5" t="n">
        <v>339</v>
      </c>
      <c r="C174" s="5" t="s">
        <v>116</v>
      </c>
      <c r="D174" s="5" t="s">
        <v>116</v>
      </c>
      <c r="E174" s="25" t="n">
        <v>16106400</v>
      </c>
    </row>
    <row r="175" customFormat="false" ht="15" hidden="false" customHeight="false" outlineLevel="0" collapsed="false">
      <c r="A175" s="25" t="n">
        <v>17000</v>
      </c>
      <c r="B175" s="5" t="n">
        <v>341</v>
      </c>
      <c r="C175" s="5" t="s">
        <v>116</v>
      </c>
      <c r="D175" s="5" t="s">
        <v>116</v>
      </c>
      <c r="E175" s="25" t="n">
        <v>16201600</v>
      </c>
    </row>
    <row r="176" customFormat="false" ht="15" hidden="false" customHeight="false" outlineLevel="0" collapsed="false">
      <c r="A176" s="25" t="n">
        <v>17100</v>
      </c>
      <c r="B176" s="5" t="n">
        <v>343</v>
      </c>
      <c r="C176" s="5" t="s">
        <v>116</v>
      </c>
      <c r="D176" s="5" t="s">
        <v>116</v>
      </c>
      <c r="E176" s="25" t="n">
        <v>16296800</v>
      </c>
    </row>
    <row r="177" customFormat="false" ht="15" hidden="false" customHeight="false" outlineLevel="0" collapsed="false">
      <c r="A177" s="25" t="n">
        <v>17200</v>
      </c>
      <c r="B177" s="5" t="n">
        <v>345</v>
      </c>
      <c r="C177" s="5" t="s">
        <v>116</v>
      </c>
      <c r="D177" s="5" t="s">
        <v>116</v>
      </c>
      <c r="E177" s="25" t="n">
        <v>16392000</v>
      </c>
    </row>
    <row r="178" customFormat="false" ht="15" hidden="false" customHeight="false" outlineLevel="0" collapsed="false">
      <c r="A178" s="25" t="n">
        <v>17300</v>
      </c>
      <c r="B178" s="5" t="n">
        <v>347</v>
      </c>
      <c r="C178" s="5" t="s">
        <v>116</v>
      </c>
      <c r="D178" s="5" t="s">
        <v>116</v>
      </c>
      <c r="E178" s="25" t="n">
        <v>16487200</v>
      </c>
    </row>
    <row r="179" customFormat="false" ht="15" hidden="false" customHeight="false" outlineLevel="0" collapsed="false">
      <c r="A179" s="25" t="n">
        <v>17400</v>
      </c>
      <c r="B179" s="5" t="n">
        <v>349</v>
      </c>
      <c r="C179" s="5" t="s">
        <v>116</v>
      </c>
      <c r="D179" s="5" t="s">
        <v>116</v>
      </c>
      <c r="E179" s="25" t="n">
        <v>16582400</v>
      </c>
    </row>
    <row r="180" customFormat="false" ht="15" hidden="false" customHeight="false" outlineLevel="0" collapsed="false">
      <c r="A180" s="25" t="n">
        <v>17500</v>
      </c>
      <c r="B180" s="5" t="n">
        <v>351</v>
      </c>
      <c r="C180" s="5" t="s">
        <v>116</v>
      </c>
      <c r="D180" s="5" t="s">
        <v>116</v>
      </c>
      <c r="E180" s="25" t="n">
        <v>16677600</v>
      </c>
    </row>
    <row r="181" customFormat="false" ht="15" hidden="false" customHeight="false" outlineLevel="0" collapsed="false">
      <c r="A181" s="25" t="n">
        <v>17600</v>
      </c>
      <c r="B181" s="5" t="n">
        <v>353</v>
      </c>
      <c r="C181" s="5" t="s">
        <v>116</v>
      </c>
      <c r="D181" s="5" t="s">
        <v>116</v>
      </c>
      <c r="E181" s="25" t="n">
        <v>16772800</v>
      </c>
    </row>
    <row r="182" customFormat="false" ht="15" hidden="false" customHeight="false" outlineLevel="0" collapsed="false">
      <c r="A182" s="25" t="n">
        <v>17700</v>
      </c>
      <c r="B182" s="5" t="n">
        <v>355</v>
      </c>
      <c r="C182" s="5" t="s">
        <v>116</v>
      </c>
      <c r="D182" s="5" t="s">
        <v>116</v>
      </c>
      <c r="E182" s="25" t="n">
        <v>16868000</v>
      </c>
    </row>
    <row r="183" customFormat="false" ht="15" hidden="false" customHeight="false" outlineLevel="0" collapsed="false">
      <c r="A183" s="25" t="n">
        <v>17800</v>
      </c>
      <c r="B183" s="5" t="n">
        <v>357</v>
      </c>
      <c r="C183" s="5" t="s">
        <v>116</v>
      </c>
      <c r="D183" s="5" t="s">
        <v>116</v>
      </c>
      <c r="E183" s="25" t="n">
        <v>16963200</v>
      </c>
    </row>
    <row r="184" customFormat="false" ht="15" hidden="false" customHeight="false" outlineLevel="0" collapsed="false">
      <c r="A184" s="25" t="n">
        <v>17900</v>
      </c>
      <c r="B184" s="5" t="n">
        <v>359</v>
      </c>
      <c r="C184" s="5" t="s">
        <v>116</v>
      </c>
      <c r="D184" s="5" t="s">
        <v>116</v>
      </c>
      <c r="E184" s="25" t="n">
        <v>17058400</v>
      </c>
    </row>
    <row r="185" customFormat="false" ht="15" hidden="false" customHeight="false" outlineLevel="0" collapsed="false">
      <c r="A185" s="25" t="n">
        <v>18000</v>
      </c>
      <c r="B185" s="5" t="n">
        <v>361</v>
      </c>
      <c r="C185" s="5" t="s">
        <v>116</v>
      </c>
      <c r="D185" s="5" t="s">
        <v>116</v>
      </c>
      <c r="E185" s="25" t="n">
        <v>17153600</v>
      </c>
    </row>
    <row r="186" customFormat="false" ht="15" hidden="false" customHeight="false" outlineLevel="0" collapsed="false">
      <c r="A186" s="25" t="n">
        <v>18100</v>
      </c>
      <c r="B186" s="5" t="n">
        <v>363</v>
      </c>
      <c r="C186" s="5" t="s">
        <v>116</v>
      </c>
      <c r="D186" s="5" t="s">
        <v>116</v>
      </c>
      <c r="E186" s="25" t="n">
        <v>17248800</v>
      </c>
    </row>
    <row r="187" customFormat="false" ht="15" hidden="false" customHeight="false" outlineLevel="0" collapsed="false">
      <c r="A187" s="25" t="n">
        <v>18200</v>
      </c>
      <c r="B187" s="5" t="n">
        <v>365</v>
      </c>
      <c r="C187" s="5" t="s">
        <v>116</v>
      </c>
      <c r="D187" s="5" t="s">
        <v>116</v>
      </c>
      <c r="E187" s="25" t="n">
        <v>17344000</v>
      </c>
    </row>
    <row r="188" customFormat="false" ht="15" hidden="false" customHeight="false" outlineLevel="0" collapsed="false">
      <c r="A188" s="25" t="n">
        <v>18300</v>
      </c>
      <c r="B188" s="5" t="n">
        <v>367</v>
      </c>
      <c r="C188" s="5" t="s">
        <v>116</v>
      </c>
      <c r="D188" s="5" t="s">
        <v>116</v>
      </c>
      <c r="E188" s="25" t="n">
        <v>17439200</v>
      </c>
    </row>
    <row r="189" customFormat="false" ht="15" hidden="false" customHeight="false" outlineLevel="0" collapsed="false">
      <c r="A189" s="25" t="n">
        <v>18400</v>
      </c>
      <c r="B189" s="5" t="n">
        <v>369</v>
      </c>
      <c r="C189" s="5" t="s">
        <v>116</v>
      </c>
      <c r="D189" s="5" t="s">
        <v>116</v>
      </c>
      <c r="E189" s="25" t="n">
        <v>17534400</v>
      </c>
    </row>
    <row r="190" customFormat="false" ht="15" hidden="false" customHeight="false" outlineLevel="0" collapsed="false">
      <c r="A190" s="25" t="n">
        <v>18500</v>
      </c>
      <c r="B190" s="5" t="n">
        <v>371</v>
      </c>
      <c r="C190" s="5" t="s">
        <v>116</v>
      </c>
      <c r="D190" s="5" t="s">
        <v>116</v>
      </c>
      <c r="E190" s="25" t="n">
        <v>17629600</v>
      </c>
    </row>
    <row r="191" customFormat="false" ht="15" hidden="false" customHeight="false" outlineLevel="0" collapsed="false">
      <c r="A191" s="25" t="n">
        <v>18600</v>
      </c>
      <c r="B191" s="5" t="n">
        <v>373</v>
      </c>
      <c r="C191" s="5" t="s">
        <v>116</v>
      </c>
      <c r="D191" s="5" t="s">
        <v>116</v>
      </c>
      <c r="E191" s="25" t="n">
        <v>17724800</v>
      </c>
    </row>
    <row r="192" customFormat="false" ht="15" hidden="false" customHeight="false" outlineLevel="0" collapsed="false">
      <c r="A192" s="25" t="n">
        <v>18700</v>
      </c>
      <c r="B192" s="5" t="n">
        <v>375</v>
      </c>
      <c r="C192" s="5" t="s">
        <v>116</v>
      </c>
      <c r="D192" s="5" t="s">
        <v>116</v>
      </c>
      <c r="E192" s="25" t="n">
        <v>17820000</v>
      </c>
    </row>
    <row r="193" customFormat="false" ht="15" hidden="false" customHeight="false" outlineLevel="0" collapsed="false">
      <c r="A193" s="25" t="n">
        <v>18800</v>
      </c>
      <c r="B193" s="5" t="n">
        <v>377</v>
      </c>
      <c r="C193" s="5" t="s">
        <v>116</v>
      </c>
      <c r="D193" s="5" t="s">
        <v>116</v>
      </c>
      <c r="E193" s="25" t="n">
        <v>17915200</v>
      </c>
    </row>
    <row r="194" customFormat="false" ht="15" hidden="false" customHeight="false" outlineLevel="0" collapsed="false">
      <c r="A194" s="25" t="n">
        <v>18900</v>
      </c>
      <c r="B194" s="5" t="n">
        <v>379</v>
      </c>
      <c r="C194" s="5" t="s">
        <v>116</v>
      </c>
      <c r="D194" s="5" t="s">
        <v>116</v>
      </c>
      <c r="E194" s="25" t="n">
        <v>18010400</v>
      </c>
    </row>
    <row r="195" customFormat="false" ht="15" hidden="false" customHeight="false" outlineLevel="0" collapsed="false">
      <c r="A195" s="25" t="n">
        <v>19000</v>
      </c>
      <c r="B195" s="5" t="n">
        <v>381</v>
      </c>
      <c r="C195" s="5" t="s">
        <v>116</v>
      </c>
      <c r="D195" s="5" t="s">
        <v>116</v>
      </c>
      <c r="E195" s="25" t="n">
        <v>18105600</v>
      </c>
    </row>
    <row r="196" customFormat="false" ht="15" hidden="false" customHeight="false" outlineLevel="0" collapsed="false">
      <c r="A196" s="25" t="n">
        <v>19100</v>
      </c>
      <c r="B196" s="5" t="n">
        <v>383</v>
      </c>
      <c r="C196" s="5" t="s">
        <v>116</v>
      </c>
      <c r="D196" s="5" t="s">
        <v>116</v>
      </c>
      <c r="E196" s="25" t="n">
        <v>18200800</v>
      </c>
    </row>
    <row r="197" customFormat="false" ht="15" hidden="false" customHeight="false" outlineLevel="0" collapsed="false">
      <c r="A197" s="25" t="n">
        <v>19200</v>
      </c>
      <c r="B197" s="5" t="n">
        <v>385</v>
      </c>
      <c r="C197" s="5" t="s">
        <v>116</v>
      </c>
      <c r="D197" s="5" t="s">
        <v>116</v>
      </c>
      <c r="E197" s="25" t="n">
        <v>18296000</v>
      </c>
    </row>
    <row r="198" customFormat="false" ht="15" hidden="false" customHeight="false" outlineLevel="0" collapsed="false">
      <c r="A198" s="25" t="n">
        <v>19300</v>
      </c>
      <c r="B198" s="5" t="n">
        <v>387</v>
      </c>
      <c r="C198" s="5" t="s">
        <v>116</v>
      </c>
      <c r="D198" s="5" t="s">
        <v>116</v>
      </c>
      <c r="E198" s="25" t="n">
        <v>18391200</v>
      </c>
    </row>
    <row r="199" customFormat="false" ht="15" hidden="false" customHeight="false" outlineLevel="0" collapsed="false">
      <c r="A199" s="25" t="n">
        <v>19400</v>
      </c>
      <c r="B199" s="5" t="n">
        <v>389</v>
      </c>
      <c r="C199" s="5" t="s">
        <v>116</v>
      </c>
      <c r="D199" s="5" t="s">
        <v>116</v>
      </c>
      <c r="E199" s="25" t="n">
        <v>18486400</v>
      </c>
    </row>
    <row r="200" customFormat="false" ht="15" hidden="false" customHeight="false" outlineLevel="0" collapsed="false">
      <c r="A200" s="25" t="n">
        <v>19500</v>
      </c>
      <c r="B200" s="5" t="n">
        <v>391</v>
      </c>
      <c r="C200" s="5" t="s">
        <v>116</v>
      </c>
      <c r="D200" s="5" t="s">
        <v>116</v>
      </c>
      <c r="E200" s="25" t="n">
        <v>18581600</v>
      </c>
    </row>
    <row r="201" customFormat="false" ht="15" hidden="false" customHeight="false" outlineLevel="0" collapsed="false">
      <c r="A201" s="25" t="n">
        <v>19600</v>
      </c>
      <c r="B201" s="5" t="n">
        <v>393</v>
      </c>
      <c r="C201" s="5" t="s">
        <v>116</v>
      </c>
      <c r="D201" s="5" t="s">
        <v>116</v>
      </c>
      <c r="E201" s="25" t="n">
        <v>18676800</v>
      </c>
    </row>
    <row r="202" customFormat="false" ht="15" hidden="false" customHeight="false" outlineLevel="0" collapsed="false">
      <c r="A202" s="25" t="n">
        <v>19700</v>
      </c>
      <c r="B202" s="5" t="n">
        <v>395</v>
      </c>
      <c r="C202" s="5" t="s">
        <v>116</v>
      </c>
      <c r="D202" s="5" t="s">
        <v>116</v>
      </c>
      <c r="E202" s="25" t="n">
        <v>18772000</v>
      </c>
    </row>
    <row r="203" customFormat="false" ht="15" hidden="false" customHeight="false" outlineLevel="0" collapsed="false">
      <c r="A203" s="25" t="n">
        <v>19800</v>
      </c>
      <c r="B203" s="5" t="n">
        <v>397</v>
      </c>
      <c r="C203" s="5" t="s">
        <v>116</v>
      </c>
      <c r="D203" s="5" t="s">
        <v>116</v>
      </c>
      <c r="E203" s="25" t="n">
        <v>18867200</v>
      </c>
    </row>
    <row r="204" customFormat="false" ht="15" hidden="false" customHeight="false" outlineLevel="0" collapsed="false">
      <c r="A204" s="25" t="n">
        <v>19900</v>
      </c>
      <c r="B204" s="5" t="n">
        <v>399</v>
      </c>
      <c r="C204" s="5" t="s">
        <v>116</v>
      </c>
      <c r="D204" s="5" t="s">
        <v>116</v>
      </c>
      <c r="E204" s="25" t="n">
        <v>18962400</v>
      </c>
    </row>
    <row r="205" customFormat="false" ht="15" hidden="false" customHeight="false" outlineLevel="0" collapsed="false">
      <c r="A205" s="25" t="n">
        <v>20000</v>
      </c>
      <c r="B205" s="5" t="n">
        <v>401</v>
      </c>
      <c r="C205" s="5" t="s">
        <v>116</v>
      </c>
      <c r="D205" s="5" t="s">
        <v>116</v>
      </c>
      <c r="E205" s="25" t="n">
        <v>19057600</v>
      </c>
    </row>
    <row r="206" customFormat="false" ht="15" hidden="false" customHeight="false" outlineLevel="0" collapsed="false">
      <c r="A206" s="25" t="n">
        <v>20100</v>
      </c>
      <c r="B206" s="5" t="n">
        <v>403</v>
      </c>
      <c r="C206" s="5" t="s">
        <v>116</v>
      </c>
      <c r="D206" s="5" t="s">
        <v>116</v>
      </c>
      <c r="E206" s="25" t="n">
        <v>19152800</v>
      </c>
    </row>
    <row r="207" customFormat="false" ht="15" hidden="false" customHeight="false" outlineLevel="0" collapsed="false">
      <c r="A207" s="25" t="n">
        <v>20200</v>
      </c>
      <c r="B207" s="5" t="n">
        <v>405</v>
      </c>
      <c r="C207" s="5" t="s">
        <v>116</v>
      </c>
      <c r="D207" s="5" t="s">
        <v>116</v>
      </c>
      <c r="E207" s="25" t="n">
        <v>19248000</v>
      </c>
    </row>
    <row r="208" customFormat="false" ht="15" hidden="false" customHeight="false" outlineLevel="0" collapsed="false">
      <c r="A208" s="25" t="n">
        <v>20300</v>
      </c>
      <c r="B208" s="5" t="n">
        <v>407</v>
      </c>
      <c r="C208" s="5" t="s">
        <v>116</v>
      </c>
      <c r="D208" s="5" t="s">
        <v>116</v>
      </c>
      <c r="E208" s="25" t="n">
        <v>19343200</v>
      </c>
    </row>
    <row r="209" customFormat="false" ht="15" hidden="false" customHeight="false" outlineLevel="0" collapsed="false">
      <c r="A209" s="25" t="n">
        <v>20400</v>
      </c>
      <c r="B209" s="5" t="n">
        <v>409</v>
      </c>
      <c r="C209" s="5" t="s">
        <v>116</v>
      </c>
      <c r="D209" s="5" t="s">
        <v>116</v>
      </c>
      <c r="E209" s="25" t="n">
        <v>19438400</v>
      </c>
    </row>
    <row r="210" customFormat="false" ht="15" hidden="false" customHeight="false" outlineLevel="0" collapsed="false">
      <c r="A210" s="25" t="n">
        <v>20500</v>
      </c>
      <c r="B210" s="5" t="n">
        <v>411</v>
      </c>
      <c r="C210" s="5" t="s">
        <v>116</v>
      </c>
      <c r="D210" s="5" t="s">
        <v>116</v>
      </c>
      <c r="E210" s="25" t="n">
        <v>19533600</v>
      </c>
    </row>
    <row r="211" customFormat="false" ht="15" hidden="false" customHeight="false" outlineLevel="0" collapsed="false">
      <c r="A211" s="25" t="n">
        <v>20600</v>
      </c>
      <c r="B211" s="5" t="n">
        <v>413</v>
      </c>
      <c r="C211" s="5" t="s">
        <v>116</v>
      </c>
      <c r="D211" s="5" t="s">
        <v>116</v>
      </c>
      <c r="E211" s="25" t="n">
        <v>19628800</v>
      </c>
    </row>
    <row r="212" customFormat="false" ht="15" hidden="false" customHeight="false" outlineLevel="0" collapsed="false">
      <c r="A212" s="25" t="n">
        <v>20700</v>
      </c>
      <c r="B212" s="5" t="n">
        <v>415</v>
      </c>
      <c r="C212" s="5" t="s">
        <v>116</v>
      </c>
      <c r="D212" s="5" t="s">
        <v>116</v>
      </c>
      <c r="E212" s="25" t="n">
        <v>19724000</v>
      </c>
    </row>
    <row r="213" customFormat="false" ht="15" hidden="false" customHeight="false" outlineLevel="0" collapsed="false">
      <c r="A213" s="25" t="n">
        <v>20800</v>
      </c>
      <c r="B213" s="5" t="n">
        <v>417</v>
      </c>
      <c r="C213" s="5" t="s">
        <v>116</v>
      </c>
      <c r="D213" s="5" t="s">
        <v>116</v>
      </c>
      <c r="E213" s="25" t="n">
        <v>19819200</v>
      </c>
    </row>
    <row r="214" customFormat="false" ht="15" hidden="false" customHeight="false" outlineLevel="0" collapsed="false">
      <c r="A214" s="25" t="n">
        <v>20900</v>
      </c>
      <c r="B214" s="5" t="n">
        <v>419</v>
      </c>
      <c r="C214" s="5" t="s">
        <v>116</v>
      </c>
      <c r="D214" s="5" t="s">
        <v>116</v>
      </c>
      <c r="E214" s="25" t="n">
        <v>19914400</v>
      </c>
    </row>
    <row r="215" customFormat="false" ht="15" hidden="false" customHeight="false" outlineLevel="0" collapsed="false">
      <c r="A215" s="25" t="n">
        <v>21000</v>
      </c>
      <c r="B215" s="5" t="n">
        <v>421</v>
      </c>
      <c r="C215" s="5" t="s">
        <v>116</v>
      </c>
      <c r="D215" s="5" t="s">
        <v>116</v>
      </c>
      <c r="E215" s="25" t="n">
        <v>20009600</v>
      </c>
    </row>
    <row r="216" customFormat="false" ht="15" hidden="false" customHeight="false" outlineLevel="0" collapsed="false">
      <c r="A216" s="25" t="n">
        <v>21100</v>
      </c>
      <c r="B216" s="5" t="n">
        <v>423</v>
      </c>
      <c r="C216" s="5" t="s">
        <v>116</v>
      </c>
      <c r="D216" s="5" t="s">
        <v>116</v>
      </c>
      <c r="E216" s="25" t="n">
        <v>20104800</v>
      </c>
    </row>
    <row r="217" customFormat="false" ht="15" hidden="false" customHeight="false" outlineLevel="0" collapsed="false">
      <c r="A217" s="25" t="n">
        <v>21200</v>
      </c>
      <c r="B217" s="5" t="n">
        <v>425</v>
      </c>
      <c r="C217" s="5" t="s">
        <v>116</v>
      </c>
      <c r="D217" s="5" t="s">
        <v>116</v>
      </c>
      <c r="E217" s="25" t="n">
        <v>20200000</v>
      </c>
    </row>
    <row r="218" customFormat="false" ht="15" hidden="false" customHeight="false" outlineLevel="0" collapsed="false">
      <c r="A218" s="25" t="n">
        <v>21300</v>
      </c>
      <c r="B218" s="5" t="n">
        <v>427</v>
      </c>
      <c r="C218" s="5" t="s">
        <v>116</v>
      </c>
      <c r="D218" s="5" t="s">
        <v>116</v>
      </c>
      <c r="E218" s="25" t="n">
        <v>20295200</v>
      </c>
    </row>
    <row r="219" customFormat="false" ht="15" hidden="false" customHeight="false" outlineLevel="0" collapsed="false">
      <c r="A219" s="25" t="n">
        <v>21400</v>
      </c>
      <c r="B219" s="5" t="n">
        <v>429</v>
      </c>
      <c r="C219" s="5" t="s">
        <v>116</v>
      </c>
      <c r="D219" s="5" t="s">
        <v>116</v>
      </c>
      <c r="E219" s="25" t="n">
        <v>20390400</v>
      </c>
    </row>
    <row r="220" customFormat="false" ht="15" hidden="false" customHeight="false" outlineLevel="0" collapsed="false">
      <c r="A220" s="25" t="n">
        <v>21500</v>
      </c>
      <c r="B220" s="5" t="n">
        <v>431</v>
      </c>
      <c r="C220" s="5" t="s">
        <v>116</v>
      </c>
      <c r="D220" s="5" t="s">
        <v>116</v>
      </c>
      <c r="E220" s="25" t="n">
        <v>20485600</v>
      </c>
    </row>
    <row r="221" customFormat="false" ht="15" hidden="false" customHeight="false" outlineLevel="0" collapsed="false">
      <c r="A221" s="25" t="n">
        <v>21600</v>
      </c>
      <c r="B221" s="5" t="n">
        <v>433</v>
      </c>
      <c r="C221" s="5" t="s">
        <v>116</v>
      </c>
      <c r="D221" s="5" t="s">
        <v>116</v>
      </c>
      <c r="E221" s="25" t="n">
        <v>20580800</v>
      </c>
    </row>
    <row r="222" customFormat="false" ht="15" hidden="false" customHeight="false" outlineLevel="0" collapsed="false">
      <c r="A222" s="25" t="n">
        <v>21700</v>
      </c>
      <c r="B222" s="5" t="n">
        <v>435</v>
      </c>
      <c r="C222" s="5" t="s">
        <v>116</v>
      </c>
      <c r="D222" s="5" t="s">
        <v>116</v>
      </c>
      <c r="E222" s="25" t="n">
        <v>20676000</v>
      </c>
    </row>
    <row r="223" customFormat="false" ht="15" hidden="false" customHeight="false" outlineLevel="0" collapsed="false">
      <c r="A223" s="25" t="n">
        <v>21800</v>
      </c>
      <c r="B223" s="5" t="n">
        <v>437</v>
      </c>
      <c r="C223" s="5" t="s">
        <v>116</v>
      </c>
      <c r="D223" s="5" t="s">
        <v>116</v>
      </c>
      <c r="E223" s="25" t="n">
        <v>20771200</v>
      </c>
    </row>
    <row r="224" customFormat="false" ht="15" hidden="false" customHeight="false" outlineLevel="0" collapsed="false">
      <c r="A224" s="25" t="n">
        <v>21900</v>
      </c>
      <c r="B224" s="5" t="n">
        <v>439</v>
      </c>
      <c r="C224" s="5" t="s">
        <v>116</v>
      </c>
      <c r="D224" s="5" t="s">
        <v>116</v>
      </c>
      <c r="E224" s="25" t="n">
        <v>20866400</v>
      </c>
    </row>
    <row r="225" customFormat="false" ht="15" hidden="false" customHeight="false" outlineLevel="0" collapsed="false">
      <c r="A225" s="25" t="n">
        <v>22000</v>
      </c>
      <c r="B225" s="5" t="n">
        <v>441</v>
      </c>
      <c r="C225" s="5" t="s">
        <v>116</v>
      </c>
      <c r="D225" s="5" t="s">
        <v>116</v>
      </c>
      <c r="E225" s="25" t="n">
        <v>20961600</v>
      </c>
    </row>
    <row r="226" customFormat="false" ht="15" hidden="false" customHeight="false" outlineLevel="0" collapsed="false">
      <c r="A226" s="25" t="n">
        <v>22100</v>
      </c>
      <c r="B226" s="5" t="n">
        <v>443</v>
      </c>
      <c r="C226" s="5" t="s">
        <v>116</v>
      </c>
      <c r="D226" s="5" t="s">
        <v>116</v>
      </c>
      <c r="E226" s="25" t="n">
        <v>21056800</v>
      </c>
    </row>
    <row r="227" customFormat="false" ht="15" hidden="false" customHeight="false" outlineLevel="0" collapsed="false">
      <c r="A227" s="25" t="n">
        <v>22200</v>
      </c>
      <c r="B227" s="5" t="n">
        <v>445</v>
      </c>
      <c r="C227" s="5" t="s">
        <v>116</v>
      </c>
      <c r="D227" s="5" t="s">
        <v>116</v>
      </c>
      <c r="E227" s="25" t="n">
        <v>21152000</v>
      </c>
    </row>
    <row r="228" customFormat="false" ht="15" hidden="false" customHeight="false" outlineLevel="0" collapsed="false">
      <c r="A228" s="25" t="n">
        <v>22300</v>
      </c>
      <c r="B228" s="5" t="n">
        <v>447</v>
      </c>
      <c r="C228" s="5" t="s">
        <v>116</v>
      </c>
      <c r="D228" s="5" t="s">
        <v>116</v>
      </c>
      <c r="E228" s="25" t="n">
        <v>21247200</v>
      </c>
    </row>
    <row r="229" customFormat="false" ht="15" hidden="false" customHeight="false" outlineLevel="0" collapsed="false">
      <c r="A229" s="25" t="n">
        <v>22400</v>
      </c>
      <c r="B229" s="5" t="n">
        <v>449</v>
      </c>
      <c r="C229" s="5" t="s">
        <v>116</v>
      </c>
      <c r="D229" s="5" t="s">
        <v>116</v>
      </c>
      <c r="E229" s="25" t="n">
        <v>21342400</v>
      </c>
    </row>
    <row r="230" customFormat="false" ht="15" hidden="false" customHeight="false" outlineLevel="0" collapsed="false">
      <c r="A230" s="25" t="n">
        <v>22500</v>
      </c>
      <c r="B230" s="5" t="n">
        <v>451</v>
      </c>
      <c r="C230" s="5" t="s">
        <v>116</v>
      </c>
      <c r="D230" s="5" t="s">
        <v>116</v>
      </c>
      <c r="E230" s="25" t="n">
        <v>21437600</v>
      </c>
    </row>
    <row r="231" customFormat="false" ht="15" hidden="false" customHeight="false" outlineLevel="0" collapsed="false">
      <c r="A231" s="25" t="n">
        <v>22600</v>
      </c>
      <c r="B231" s="5" t="n">
        <v>453</v>
      </c>
      <c r="C231" s="5" t="s">
        <v>116</v>
      </c>
      <c r="D231" s="5" t="s">
        <v>116</v>
      </c>
      <c r="E231" s="25" t="n">
        <v>21532800</v>
      </c>
    </row>
    <row r="232" customFormat="false" ht="15" hidden="false" customHeight="false" outlineLevel="0" collapsed="false">
      <c r="A232" s="25" t="n">
        <v>22700</v>
      </c>
      <c r="B232" s="5" t="n">
        <v>455</v>
      </c>
      <c r="C232" s="5" t="s">
        <v>116</v>
      </c>
      <c r="D232" s="5" t="s">
        <v>116</v>
      </c>
      <c r="E232" s="25" t="n">
        <v>21628000</v>
      </c>
    </row>
    <row r="233" customFormat="false" ht="15" hidden="false" customHeight="false" outlineLevel="0" collapsed="false">
      <c r="A233" s="25" t="n">
        <v>22800</v>
      </c>
      <c r="B233" s="5" t="n">
        <v>457</v>
      </c>
      <c r="C233" s="5" t="s">
        <v>116</v>
      </c>
      <c r="D233" s="5" t="s">
        <v>116</v>
      </c>
      <c r="E233" s="25" t="n">
        <v>21723200</v>
      </c>
    </row>
    <row r="234" customFormat="false" ht="15" hidden="false" customHeight="false" outlineLevel="0" collapsed="false">
      <c r="A234" s="25" t="n">
        <v>22900</v>
      </c>
      <c r="B234" s="5" t="n">
        <v>459</v>
      </c>
      <c r="C234" s="5" t="s">
        <v>116</v>
      </c>
      <c r="D234" s="5" t="s">
        <v>116</v>
      </c>
      <c r="E234" s="25" t="n">
        <v>21818400</v>
      </c>
    </row>
    <row r="235" customFormat="false" ht="15" hidden="false" customHeight="false" outlineLevel="0" collapsed="false">
      <c r="A235" s="25" t="n">
        <v>23000</v>
      </c>
      <c r="B235" s="5" t="n">
        <v>461</v>
      </c>
      <c r="C235" s="5" t="s">
        <v>116</v>
      </c>
      <c r="D235" s="5" t="s">
        <v>116</v>
      </c>
      <c r="E235" s="25" t="n">
        <v>21913600</v>
      </c>
    </row>
    <row r="236" customFormat="false" ht="15" hidden="false" customHeight="false" outlineLevel="0" collapsed="false">
      <c r="A236" s="25" t="n">
        <v>23100</v>
      </c>
      <c r="B236" s="5" t="n">
        <v>463</v>
      </c>
      <c r="C236" s="5" t="s">
        <v>116</v>
      </c>
      <c r="D236" s="5" t="s">
        <v>116</v>
      </c>
      <c r="E236" s="25" t="n">
        <v>22008800</v>
      </c>
    </row>
    <row r="237" customFormat="false" ht="15" hidden="false" customHeight="false" outlineLevel="0" collapsed="false">
      <c r="A237" s="25" t="n">
        <v>23200</v>
      </c>
      <c r="B237" s="5" t="n">
        <v>465</v>
      </c>
      <c r="C237" s="5" t="s">
        <v>116</v>
      </c>
      <c r="D237" s="5" t="s">
        <v>116</v>
      </c>
      <c r="E237" s="25" t="n">
        <v>22104000</v>
      </c>
    </row>
    <row r="238" customFormat="false" ht="15" hidden="false" customHeight="false" outlineLevel="0" collapsed="false">
      <c r="A238" s="25" t="n">
        <v>23300</v>
      </c>
      <c r="B238" s="5" t="n">
        <v>467</v>
      </c>
      <c r="C238" s="5" t="s">
        <v>116</v>
      </c>
      <c r="D238" s="5" t="s">
        <v>116</v>
      </c>
      <c r="E238" s="25" t="n">
        <v>22199200</v>
      </c>
    </row>
    <row r="239" customFormat="false" ht="15" hidden="false" customHeight="false" outlineLevel="0" collapsed="false">
      <c r="A239" s="25" t="n">
        <v>23400</v>
      </c>
      <c r="B239" s="5" t="n">
        <v>469</v>
      </c>
      <c r="C239" s="5" t="s">
        <v>116</v>
      </c>
      <c r="D239" s="5" t="s">
        <v>116</v>
      </c>
      <c r="E239" s="25" t="n">
        <v>22294400</v>
      </c>
    </row>
    <row r="240" customFormat="false" ht="15" hidden="false" customHeight="false" outlineLevel="0" collapsed="false">
      <c r="A240" s="25" t="n">
        <v>23500</v>
      </c>
      <c r="B240" s="5" t="n">
        <v>471</v>
      </c>
      <c r="C240" s="5" t="s">
        <v>116</v>
      </c>
      <c r="D240" s="5" t="s">
        <v>116</v>
      </c>
      <c r="E240" s="25" t="n">
        <v>22389600</v>
      </c>
    </row>
    <row r="241" customFormat="false" ht="15" hidden="false" customHeight="false" outlineLevel="0" collapsed="false">
      <c r="A241" s="25" t="n">
        <v>23600</v>
      </c>
      <c r="B241" s="5" t="n">
        <v>473</v>
      </c>
      <c r="C241" s="5" t="s">
        <v>116</v>
      </c>
      <c r="D241" s="5" t="s">
        <v>116</v>
      </c>
      <c r="E241" s="25" t="n">
        <v>22484800</v>
      </c>
    </row>
    <row r="242" customFormat="false" ht="15" hidden="false" customHeight="false" outlineLevel="0" collapsed="false">
      <c r="A242" s="25" t="n">
        <v>23700</v>
      </c>
      <c r="B242" s="5" t="n">
        <v>475</v>
      </c>
      <c r="C242" s="5" t="s">
        <v>116</v>
      </c>
      <c r="D242" s="5" t="s">
        <v>116</v>
      </c>
      <c r="E242" s="25" t="n">
        <v>22580000</v>
      </c>
    </row>
    <row r="243" customFormat="false" ht="15" hidden="false" customHeight="false" outlineLevel="0" collapsed="false">
      <c r="A243" s="25" t="n">
        <v>23800</v>
      </c>
      <c r="B243" s="5" t="n">
        <v>477</v>
      </c>
      <c r="C243" s="5" t="s">
        <v>116</v>
      </c>
      <c r="D243" s="5" t="s">
        <v>116</v>
      </c>
      <c r="E243" s="25" t="n">
        <v>22675200</v>
      </c>
    </row>
    <row r="244" customFormat="false" ht="15" hidden="false" customHeight="false" outlineLevel="0" collapsed="false">
      <c r="A244" s="25" t="n">
        <v>23900</v>
      </c>
      <c r="B244" s="5" t="n">
        <v>479</v>
      </c>
      <c r="C244" s="5" t="s">
        <v>116</v>
      </c>
      <c r="D244" s="5" t="s">
        <v>116</v>
      </c>
      <c r="E244" s="25" t="n">
        <v>22770400</v>
      </c>
    </row>
    <row r="245" customFormat="false" ht="15" hidden="false" customHeight="false" outlineLevel="0" collapsed="false">
      <c r="A245" s="25" t="n">
        <v>24000</v>
      </c>
      <c r="B245" s="5" t="n">
        <v>481</v>
      </c>
      <c r="C245" s="5" t="s">
        <v>116</v>
      </c>
      <c r="D245" s="5" t="s">
        <v>116</v>
      </c>
      <c r="E245" s="25" t="n">
        <v>22865600</v>
      </c>
    </row>
    <row r="246" customFormat="false" ht="15" hidden="false" customHeight="false" outlineLevel="0" collapsed="false">
      <c r="A246" s="25" t="n">
        <v>24100</v>
      </c>
      <c r="B246" s="5" t="n">
        <v>483</v>
      </c>
      <c r="C246" s="5" t="s">
        <v>116</v>
      </c>
      <c r="D246" s="5" t="s">
        <v>116</v>
      </c>
      <c r="E246" s="25" t="n">
        <v>22960800</v>
      </c>
    </row>
    <row r="247" customFormat="false" ht="15" hidden="false" customHeight="false" outlineLevel="0" collapsed="false">
      <c r="A247" s="25" t="n">
        <v>24200</v>
      </c>
      <c r="B247" s="5" t="n">
        <v>485</v>
      </c>
      <c r="C247" s="5" t="s">
        <v>116</v>
      </c>
      <c r="D247" s="5" t="s">
        <v>116</v>
      </c>
      <c r="E247" s="25" t="n">
        <v>23056000</v>
      </c>
    </row>
    <row r="248" customFormat="false" ht="15" hidden="false" customHeight="false" outlineLevel="0" collapsed="false">
      <c r="A248" s="25" t="n">
        <v>24300</v>
      </c>
      <c r="B248" s="5" t="n">
        <v>487</v>
      </c>
      <c r="C248" s="5" t="s">
        <v>116</v>
      </c>
      <c r="D248" s="5" t="s">
        <v>116</v>
      </c>
      <c r="E248" s="25" t="n">
        <v>23151200</v>
      </c>
    </row>
    <row r="249" customFormat="false" ht="15" hidden="false" customHeight="false" outlineLevel="0" collapsed="false">
      <c r="A249" s="25" t="n">
        <v>24400</v>
      </c>
      <c r="B249" s="5" t="n">
        <v>489</v>
      </c>
      <c r="C249" s="5" t="s">
        <v>116</v>
      </c>
      <c r="D249" s="5" t="s">
        <v>116</v>
      </c>
      <c r="E249" s="25" t="n">
        <v>23246400</v>
      </c>
    </row>
    <row r="250" customFormat="false" ht="15" hidden="false" customHeight="false" outlineLevel="0" collapsed="false">
      <c r="A250" s="25" t="n">
        <v>24500</v>
      </c>
      <c r="B250" s="5" t="n">
        <v>491</v>
      </c>
      <c r="C250" s="5" t="s">
        <v>116</v>
      </c>
      <c r="D250" s="5" t="s">
        <v>116</v>
      </c>
      <c r="E250" s="25" t="n">
        <v>23341600</v>
      </c>
    </row>
    <row r="251" customFormat="false" ht="15" hidden="false" customHeight="false" outlineLevel="0" collapsed="false">
      <c r="A251" s="25" t="n">
        <v>24600</v>
      </c>
      <c r="B251" s="5" t="n">
        <v>493</v>
      </c>
      <c r="C251" s="5" t="s">
        <v>116</v>
      </c>
      <c r="D251" s="5" t="s">
        <v>116</v>
      </c>
      <c r="E251" s="25" t="n">
        <v>23436800</v>
      </c>
    </row>
    <row r="252" customFormat="false" ht="15" hidden="false" customHeight="false" outlineLevel="0" collapsed="false">
      <c r="A252" s="25" t="n">
        <v>24700</v>
      </c>
      <c r="B252" s="5" t="n">
        <v>495</v>
      </c>
      <c r="C252" s="5" t="s">
        <v>116</v>
      </c>
      <c r="D252" s="5" t="s">
        <v>116</v>
      </c>
      <c r="E252" s="25" t="n">
        <v>23532000</v>
      </c>
    </row>
    <row r="253" customFormat="false" ht="15" hidden="false" customHeight="false" outlineLevel="0" collapsed="false">
      <c r="A253" s="25" t="n">
        <v>24800</v>
      </c>
      <c r="B253" s="5" t="n">
        <v>497</v>
      </c>
      <c r="C253" s="5" t="s">
        <v>116</v>
      </c>
      <c r="D253" s="5" t="s">
        <v>116</v>
      </c>
      <c r="E253" s="25" t="n">
        <v>23627200</v>
      </c>
    </row>
    <row r="254" customFormat="false" ht="15" hidden="false" customHeight="false" outlineLevel="0" collapsed="false">
      <c r="A254" s="25" t="n">
        <v>24900</v>
      </c>
      <c r="B254" s="5" t="n">
        <v>499</v>
      </c>
      <c r="C254" s="5" t="s">
        <v>116</v>
      </c>
      <c r="D254" s="5" t="s">
        <v>116</v>
      </c>
      <c r="E254" s="25" t="n">
        <v>23722400</v>
      </c>
    </row>
    <row r="255" customFormat="false" ht="15" hidden="false" customHeight="false" outlineLevel="0" collapsed="false">
      <c r="A255" s="25" t="n">
        <v>25000</v>
      </c>
      <c r="B255" s="5" t="n">
        <v>501</v>
      </c>
      <c r="C255" s="5" t="s">
        <v>116</v>
      </c>
      <c r="D255" s="5" t="s">
        <v>116</v>
      </c>
      <c r="E255" s="25" t="n">
        <v>23817600</v>
      </c>
    </row>
    <row r="256" customFormat="false" ht="15" hidden="false" customHeight="false" outlineLevel="0" collapsed="false">
      <c r="A256" s="25" t="n">
        <v>25100</v>
      </c>
      <c r="B256" s="5" t="n">
        <v>503</v>
      </c>
      <c r="C256" s="5" t="s">
        <v>116</v>
      </c>
      <c r="D256" s="5" t="s">
        <v>116</v>
      </c>
      <c r="E256" s="25" t="n">
        <v>23912800</v>
      </c>
    </row>
    <row r="257" customFormat="false" ht="15" hidden="false" customHeight="false" outlineLevel="0" collapsed="false">
      <c r="A257" s="25" t="n">
        <v>25200</v>
      </c>
      <c r="B257" s="5" t="n">
        <v>505</v>
      </c>
      <c r="C257" s="5" t="s">
        <v>116</v>
      </c>
      <c r="D257" s="5" t="s">
        <v>116</v>
      </c>
      <c r="E257" s="25" t="n">
        <v>24008000</v>
      </c>
    </row>
    <row r="258" customFormat="false" ht="15" hidden="false" customHeight="false" outlineLevel="0" collapsed="false">
      <c r="A258" s="25" t="n">
        <v>25300</v>
      </c>
      <c r="B258" s="5" t="n">
        <v>507</v>
      </c>
      <c r="C258" s="5" t="s">
        <v>116</v>
      </c>
      <c r="D258" s="5" t="s">
        <v>116</v>
      </c>
      <c r="E258" s="25" t="n">
        <v>24103200</v>
      </c>
    </row>
    <row r="259" customFormat="false" ht="15" hidden="false" customHeight="false" outlineLevel="0" collapsed="false">
      <c r="A259" s="25" t="n">
        <v>25400</v>
      </c>
      <c r="B259" s="5" t="n">
        <v>509</v>
      </c>
      <c r="C259" s="5" t="s">
        <v>116</v>
      </c>
      <c r="D259" s="5" t="s">
        <v>116</v>
      </c>
      <c r="E259" s="25" t="n">
        <v>24198400</v>
      </c>
    </row>
    <row r="260" customFormat="false" ht="15" hidden="false" customHeight="false" outlineLevel="0" collapsed="false">
      <c r="A260" s="25" t="n">
        <v>25500</v>
      </c>
      <c r="B260" s="5" t="n">
        <v>511</v>
      </c>
      <c r="C260" s="5" t="s">
        <v>116</v>
      </c>
      <c r="D260" s="5" t="s">
        <v>116</v>
      </c>
      <c r="E260" s="25" t="n">
        <v>24293600</v>
      </c>
    </row>
    <row r="261" customFormat="false" ht="15" hidden="false" customHeight="false" outlineLevel="0" collapsed="false">
      <c r="A261" s="25" t="n">
        <v>25600</v>
      </c>
      <c r="B261" s="5" t="n">
        <v>513</v>
      </c>
      <c r="C261" s="5" t="s">
        <v>116</v>
      </c>
      <c r="D261" s="5" t="s">
        <v>116</v>
      </c>
      <c r="E261" s="25" t="n">
        <v>24388800</v>
      </c>
    </row>
    <row r="262" customFormat="false" ht="15" hidden="false" customHeight="false" outlineLevel="0" collapsed="false">
      <c r="A262" s="25" t="n">
        <v>25700</v>
      </c>
      <c r="B262" s="5" t="n">
        <v>515</v>
      </c>
      <c r="C262" s="5" t="s">
        <v>116</v>
      </c>
      <c r="D262" s="5" t="s">
        <v>116</v>
      </c>
      <c r="E262" s="25" t="n">
        <v>24484000</v>
      </c>
    </row>
    <row r="263" customFormat="false" ht="15" hidden="false" customHeight="false" outlineLevel="0" collapsed="false">
      <c r="A263" s="25" t="n">
        <v>25800</v>
      </c>
      <c r="B263" s="5" t="n">
        <v>517</v>
      </c>
      <c r="C263" s="5" t="s">
        <v>116</v>
      </c>
      <c r="D263" s="5" t="s">
        <v>116</v>
      </c>
      <c r="E263" s="25" t="n">
        <v>24579200</v>
      </c>
    </row>
    <row r="264" customFormat="false" ht="15" hidden="false" customHeight="false" outlineLevel="0" collapsed="false">
      <c r="A264" s="25" t="n">
        <v>25900</v>
      </c>
      <c r="B264" s="5" t="n">
        <v>519</v>
      </c>
      <c r="C264" s="5" t="s">
        <v>116</v>
      </c>
      <c r="D264" s="5" t="s">
        <v>116</v>
      </c>
      <c r="E264" s="25" t="n">
        <v>24674400</v>
      </c>
    </row>
    <row r="265" customFormat="false" ht="15" hidden="false" customHeight="false" outlineLevel="0" collapsed="false">
      <c r="A265" s="25" t="n">
        <v>26000</v>
      </c>
      <c r="B265" s="5" t="n">
        <v>521</v>
      </c>
      <c r="C265" s="5" t="s">
        <v>116</v>
      </c>
      <c r="D265" s="5" t="s">
        <v>116</v>
      </c>
      <c r="E265" s="25" t="n">
        <v>24769600</v>
      </c>
    </row>
    <row r="266" customFormat="false" ht="15" hidden="false" customHeight="false" outlineLevel="0" collapsed="false">
      <c r="A266" s="25" t="n">
        <v>26100</v>
      </c>
      <c r="B266" s="5" t="n">
        <v>523</v>
      </c>
      <c r="C266" s="5" t="s">
        <v>116</v>
      </c>
      <c r="D266" s="5" t="s">
        <v>116</v>
      </c>
      <c r="E266" s="25" t="n">
        <v>24864800</v>
      </c>
    </row>
    <row r="267" customFormat="false" ht="15" hidden="false" customHeight="false" outlineLevel="0" collapsed="false">
      <c r="A267" s="25" t="n">
        <v>26200</v>
      </c>
      <c r="B267" s="5" t="n">
        <v>525</v>
      </c>
      <c r="C267" s="5" t="s">
        <v>116</v>
      </c>
      <c r="D267" s="5" t="s">
        <v>116</v>
      </c>
      <c r="E267" s="25" t="n">
        <v>24960000</v>
      </c>
    </row>
    <row r="268" customFormat="false" ht="15" hidden="false" customHeight="false" outlineLevel="0" collapsed="false">
      <c r="A268" s="25" t="n">
        <v>26300</v>
      </c>
      <c r="B268" s="5" t="n">
        <v>527</v>
      </c>
      <c r="C268" s="5" t="s">
        <v>116</v>
      </c>
      <c r="D268" s="5" t="s">
        <v>116</v>
      </c>
      <c r="E268" s="25" t="n">
        <v>25055200</v>
      </c>
    </row>
    <row r="269" customFormat="false" ht="15" hidden="false" customHeight="false" outlineLevel="0" collapsed="false">
      <c r="A269" s="25" t="n">
        <v>26400</v>
      </c>
      <c r="B269" s="5" t="n">
        <v>529</v>
      </c>
      <c r="C269" s="5" t="s">
        <v>116</v>
      </c>
      <c r="D269" s="5" t="s">
        <v>116</v>
      </c>
      <c r="E269" s="25" t="n">
        <v>25150400</v>
      </c>
    </row>
    <row r="270" customFormat="false" ht="15" hidden="false" customHeight="false" outlineLevel="0" collapsed="false">
      <c r="A270" s="25" t="n">
        <v>26500</v>
      </c>
      <c r="B270" s="5" t="n">
        <v>531</v>
      </c>
      <c r="C270" s="5" t="s">
        <v>116</v>
      </c>
      <c r="D270" s="5" t="s">
        <v>116</v>
      </c>
      <c r="E270" s="25" t="n">
        <v>25245600</v>
      </c>
    </row>
    <row r="271" customFormat="false" ht="15" hidden="false" customHeight="false" outlineLevel="0" collapsed="false">
      <c r="A271" s="25" t="n">
        <v>26600</v>
      </c>
      <c r="B271" s="5" t="n">
        <v>533</v>
      </c>
      <c r="C271" s="5" t="s">
        <v>116</v>
      </c>
      <c r="D271" s="5" t="s">
        <v>116</v>
      </c>
      <c r="E271" s="25" t="n">
        <v>25340800</v>
      </c>
    </row>
    <row r="272" customFormat="false" ht="15" hidden="false" customHeight="false" outlineLevel="0" collapsed="false">
      <c r="A272" s="25" t="n">
        <v>26700</v>
      </c>
      <c r="B272" s="5" t="n">
        <v>535</v>
      </c>
      <c r="C272" s="5" t="s">
        <v>116</v>
      </c>
      <c r="D272" s="5" t="s">
        <v>116</v>
      </c>
      <c r="E272" s="25" t="n">
        <v>25436000</v>
      </c>
    </row>
    <row r="273" customFormat="false" ht="15" hidden="false" customHeight="false" outlineLevel="0" collapsed="false">
      <c r="A273" s="25" t="n">
        <v>26800</v>
      </c>
      <c r="B273" s="5" t="n">
        <v>537</v>
      </c>
      <c r="C273" s="5" t="s">
        <v>116</v>
      </c>
      <c r="D273" s="5" t="s">
        <v>116</v>
      </c>
      <c r="E273" s="25" t="n">
        <v>25531200</v>
      </c>
    </row>
    <row r="274" customFormat="false" ht="15" hidden="false" customHeight="false" outlineLevel="0" collapsed="false">
      <c r="A274" s="25" t="n">
        <v>26900</v>
      </c>
      <c r="B274" s="5" t="n">
        <v>539</v>
      </c>
      <c r="C274" s="5" t="s">
        <v>116</v>
      </c>
      <c r="D274" s="5" t="s">
        <v>116</v>
      </c>
      <c r="E274" s="25" t="n">
        <v>25626400</v>
      </c>
    </row>
    <row r="275" customFormat="false" ht="15" hidden="false" customHeight="false" outlineLevel="0" collapsed="false">
      <c r="A275" s="25" t="n">
        <v>27000</v>
      </c>
      <c r="B275" s="5" t="n">
        <v>541</v>
      </c>
      <c r="C275" s="5" t="s">
        <v>116</v>
      </c>
      <c r="D275" s="5" t="s">
        <v>116</v>
      </c>
      <c r="E275" s="25" t="n">
        <v>25721600</v>
      </c>
    </row>
    <row r="276" customFormat="false" ht="15" hidden="false" customHeight="false" outlineLevel="0" collapsed="false">
      <c r="A276" s="25" t="n">
        <v>27100</v>
      </c>
      <c r="B276" s="5" t="n">
        <v>543</v>
      </c>
      <c r="C276" s="5" t="s">
        <v>116</v>
      </c>
      <c r="D276" s="5" t="s">
        <v>116</v>
      </c>
      <c r="E276" s="25" t="n">
        <v>25816800</v>
      </c>
    </row>
    <row r="277" customFormat="false" ht="15" hidden="false" customHeight="false" outlineLevel="0" collapsed="false">
      <c r="A277" s="25" t="n">
        <v>27200</v>
      </c>
      <c r="B277" s="5" t="n">
        <v>545</v>
      </c>
      <c r="C277" s="5" t="s">
        <v>116</v>
      </c>
      <c r="D277" s="5" t="s">
        <v>116</v>
      </c>
      <c r="E277" s="25" t="n">
        <v>25912000</v>
      </c>
    </row>
    <row r="278" customFormat="false" ht="15" hidden="false" customHeight="false" outlineLevel="0" collapsed="false">
      <c r="A278" s="25" t="n">
        <v>27300</v>
      </c>
      <c r="B278" s="5" t="n">
        <v>547</v>
      </c>
      <c r="C278" s="5" t="s">
        <v>116</v>
      </c>
      <c r="D278" s="5" t="s">
        <v>116</v>
      </c>
      <c r="E278" s="25" t="n">
        <v>26007200</v>
      </c>
    </row>
    <row r="279" customFormat="false" ht="15" hidden="false" customHeight="false" outlineLevel="0" collapsed="false">
      <c r="A279" s="25" t="n">
        <v>27400</v>
      </c>
      <c r="B279" s="5" t="n">
        <v>549</v>
      </c>
      <c r="C279" s="5" t="s">
        <v>116</v>
      </c>
      <c r="D279" s="5" t="s">
        <v>116</v>
      </c>
      <c r="E279" s="25" t="n">
        <v>26102400</v>
      </c>
    </row>
    <row r="280" customFormat="false" ht="15" hidden="false" customHeight="false" outlineLevel="0" collapsed="false">
      <c r="A280" s="25" t="n">
        <v>27500</v>
      </c>
      <c r="B280" s="5" t="n">
        <v>551</v>
      </c>
      <c r="C280" s="5" t="s">
        <v>116</v>
      </c>
      <c r="D280" s="5" t="s">
        <v>116</v>
      </c>
      <c r="E280" s="25" t="n">
        <v>26197600</v>
      </c>
    </row>
    <row r="281" customFormat="false" ht="15" hidden="false" customHeight="false" outlineLevel="0" collapsed="false">
      <c r="A281" s="25" t="n">
        <v>27600</v>
      </c>
      <c r="B281" s="5" t="n">
        <v>553</v>
      </c>
      <c r="C281" s="5" t="s">
        <v>116</v>
      </c>
      <c r="D281" s="5" t="s">
        <v>116</v>
      </c>
      <c r="E281" s="25" t="n">
        <v>26292800</v>
      </c>
    </row>
    <row r="282" customFormat="false" ht="15" hidden="false" customHeight="false" outlineLevel="0" collapsed="false">
      <c r="A282" s="25" t="n">
        <v>27700</v>
      </c>
      <c r="B282" s="5" t="n">
        <v>555</v>
      </c>
      <c r="C282" s="5" t="s">
        <v>116</v>
      </c>
      <c r="D282" s="5" t="s">
        <v>116</v>
      </c>
      <c r="E282" s="25" t="n">
        <v>26388000</v>
      </c>
    </row>
    <row r="283" customFormat="false" ht="15" hidden="false" customHeight="false" outlineLevel="0" collapsed="false">
      <c r="A283" s="25" t="n">
        <v>27800</v>
      </c>
      <c r="B283" s="5" t="n">
        <v>557</v>
      </c>
      <c r="C283" s="5" t="s">
        <v>116</v>
      </c>
      <c r="D283" s="5" t="s">
        <v>116</v>
      </c>
      <c r="E283" s="25" t="n">
        <v>26483200</v>
      </c>
    </row>
    <row r="284" customFormat="false" ht="15" hidden="false" customHeight="false" outlineLevel="0" collapsed="false">
      <c r="A284" s="25" t="n">
        <v>27900</v>
      </c>
      <c r="B284" s="5" t="n">
        <v>559</v>
      </c>
      <c r="C284" s="5" t="s">
        <v>116</v>
      </c>
      <c r="D284" s="5" t="s">
        <v>116</v>
      </c>
      <c r="E284" s="25" t="n">
        <v>26578400</v>
      </c>
    </row>
    <row r="285" customFormat="false" ht="15" hidden="false" customHeight="false" outlineLevel="0" collapsed="false">
      <c r="A285" s="25" t="n">
        <v>28000</v>
      </c>
      <c r="B285" s="5" t="n">
        <v>561</v>
      </c>
      <c r="C285" s="5" t="s">
        <v>116</v>
      </c>
      <c r="D285" s="5" t="s">
        <v>116</v>
      </c>
      <c r="E285" s="25" t="n">
        <v>26673600</v>
      </c>
    </row>
    <row r="286" customFormat="false" ht="15" hidden="false" customHeight="false" outlineLevel="0" collapsed="false">
      <c r="A286" s="25" t="n">
        <v>28100</v>
      </c>
      <c r="B286" s="5" t="n">
        <v>563</v>
      </c>
      <c r="C286" s="5" t="s">
        <v>116</v>
      </c>
      <c r="D286" s="5" t="s">
        <v>116</v>
      </c>
      <c r="E286" s="25" t="n">
        <v>26768800</v>
      </c>
    </row>
    <row r="287" customFormat="false" ht="15" hidden="false" customHeight="false" outlineLevel="0" collapsed="false">
      <c r="A287" s="25" t="n">
        <v>28200</v>
      </c>
      <c r="B287" s="5" t="n">
        <v>565</v>
      </c>
      <c r="C287" s="5" t="s">
        <v>116</v>
      </c>
      <c r="D287" s="5" t="s">
        <v>116</v>
      </c>
      <c r="E287" s="25" t="n">
        <v>26864000</v>
      </c>
    </row>
    <row r="288" customFormat="false" ht="15" hidden="false" customHeight="false" outlineLevel="0" collapsed="false">
      <c r="A288" s="25" t="n">
        <v>28300</v>
      </c>
      <c r="B288" s="5" t="n">
        <v>567</v>
      </c>
      <c r="C288" s="5" t="s">
        <v>116</v>
      </c>
      <c r="D288" s="5" t="s">
        <v>116</v>
      </c>
      <c r="E288" s="25" t="n">
        <v>26959200</v>
      </c>
    </row>
    <row r="289" customFormat="false" ht="15" hidden="false" customHeight="false" outlineLevel="0" collapsed="false">
      <c r="A289" s="25" t="n">
        <v>28400</v>
      </c>
      <c r="B289" s="5" t="n">
        <v>569</v>
      </c>
      <c r="C289" s="5" t="s">
        <v>116</v>
      </c>
      <c r="D289" s="5" t="s">
        <v>116</v>
      </c>
      <c r="E289" s="25" t="n">
        <v>27054400</v>
      </c>
    </row>
    <row r="290" customFormat="false" ht="15" hidden="false" customHeight="false" outlineLevel="0" collapsed="false">
      <c r="A290" s="25" t="n">
        <v>28500</v>
      </c>
      <c r="B290" s="5" t="n">
        <v>571</v>
      </c>
      <c r="C290" s="5" t="s">
        <v>116</v>
      </c>
      <c r="D290" s="5" t="s">
        <v>116</v>
      </c>
      <c r="E290" s="25" t="n">
        <v>27149600</v>
      </c>
    </row>
    <row r="291" customFormat="false" ht="15" hidden="false" customHeight="false" outlineLevel="0" collapsed="false">
      <c r="A291" s="25" t="n">
        <v>28600</v>
      </c>
      <c r="B291" s="5" t="n">
        <v>573</v>
      </c>
      <c r="C291" s="5" t="s">
        <v>116</v>
      </c>
      <c r="D291" s="5" t="s">
        <v>116</v>
      </c>
      <c r="E291" s="25" t="n">
        <v>27244800</v>
      </c>
    </row>
    <row r="292" customFormat="false" ht="15" hidden="false" customHeight="false" outlineLevel="0" collapsed="false">
      <c r="A292" s="25" t="n">
        <v>28700</v>
      </c>
      <c r="B292" s="5" t="n">
        <v>575</v>
      </c>
      <c r="C292" s="5" t="s">
        <v>116</v>
      </c>
      <c r="D292" s="5" t="s">
        <v>116</v>
      </c>
      <c r="E292" s="25" t="n">
        <v>27340000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2026-10-02T09:59:12Z</dcterms:created>
  <dc:creator>openpyxl</dc:creator>
  <dc:description/>
  <dc:language>en-US</dc:language>
  <cp:lastModifiedBy/>
  <dcterms:modified xsi:type="dcterms:W3CDTF">2026-10-02T09:59:12Z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